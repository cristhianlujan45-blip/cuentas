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Supuestos" sheetId="3" state="visible" r:id="rId3"/>
    <sheet xmlns:r="http://schemas.openxmlformats.org/officeDocument/2006/relationships" name="Competencia" sheetId="4" state="visible" r:id="rId4"/>
    <sheet xmlns:r="http://schemas.openxmlformats.org/officeDocument/2006/relationships" name="Precios" sheetId="5" state="visible" r:id="rId5"/>
    <sheet xmlns:r="http://schemas.openxmlformats.org/officeDocument/2006/relationships" name="Presupuesto" sheetId="6" state="visible" r:id="rId6"/>
    <sheet xmlns:r="http://schemas.openxmlformats.org/officeDocument/2006/relationships" name="Proyección" sheetId="7" state="visible" r:id="rId7"/>
    <sheet xmlns:r="http://schemas.openxmlformats.org/officeDocument/2006/relationships" name="Unidad económica" sheetId="8" state="visible" r:id="rId8"/>
    <sheet xmlns:r="http://schemas.openxmlformats.org/officeDocument/2006/relationships" name="Uso de fondos" sheetId="9" state="visible" r:id="rId9"/>
    <sheet xmlns:r="http://schemas.openxmlformats.org/officeDocument/2006/relationships" name="Fu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(#,##0);-"/>
    <numFmt numFmtId="165" formatCode="0.0%;(0.0%);-"/>
    <numFmt numFmtId="166" formatCode="$#,##0;($#,##0);-"/>
    <numFmt numFmtId="167" formatCode="0.00&quot;x&quot;"/>
    <numFmt numFmtId="168" formatCode="&quot;US$&quot;#,##0;(&quot;US$&quot;#,##0);-"/>
    <numFmt numFmtId="169" formatCode="0.0"/>
    <numFmt numFmtId="170" formatCode="0.0&quot;x&quot;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B7280"/>
    </font>
    <font>
      <name val="Arial"/>
      <b val="1"/>
    </font>
    <font>
      <name val="Arial"/>
    </font>
    <font>
      <name val="Arial"/>
      <color rgb="000000FF"/>
    </font>
    <font>
      <name val="Arial"/>
      <color rgb="00008000"/>
    </font>
    <font>
      <name val="Arial"/>
      <b val="1"/>
      <color rgb="00FFFFFF"/>
    </font>
    <font>
      <name val="Arial"/>
      <color rgb="002563EB"/>
      <u val="single"/>
    </font>
  </fonts>
  <fills count="6">
    <fill>
      <patternFill/>
    </fill>
    <fill>
      <patternFill patternType="gray125"/>
    </fill>
    <fill>
      <patternFill patternType="solid">
        <fgColor rgb="004C1D95"/>
      </patternFill>
    </fill>
    <fill>
      <patternFill patternType="solid">
        <fgColor rgb="00FFFF00"/>
      </patternFill>
    </fill>
    <fill>
      <patternFill patternType="solid">
        <fgColor rgb="007C3AED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3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4" borderId="1" applyAlignment="1" pivotButton="0" quotePrefix="0" xfId="0">
      <alignment vertical="center" wrapText="1"/>
    </xf>
    <xf numFmtId="164" fontId="6" fillId="0" borderId="1" pivotButton="0" quotePrefix="0" xfId="0"/>
    <xf numFmtId="164" fontId="6" fillId="5" borderId="1" pivotButton="0" quotePrefix="0" xfId="0"/>
    <xf numFmtId="166" fontId="6" fillId="0" borderId="1" pivotButton="0" quotePrefix="0" xfId="0"/>
    <xf numFmtId="166" fontId="6" fillId="5" borderId="1" pivotButton="0" quotePrefix="0" xfId="0"/>
    <xf numFmtId="168" fontId="6" fillId="0" borderId="1" pivotButton="0" quotePrefix="0" xfId="0"/>
    <xf numFmtId="168" fontId="6" fillId="5" borderId="1" pivotButton="0" quotePrefix="0" xfId="0"/>
    <xf numFmtId="1" fontId="6" fillId="0" borderId="1" pivotButton="0" quotePrefix="0" xfId="0"/>
    <xf numFmtId="1" fontId="6" fillId="5" borderId="1" pivotButton="0" quotePrefix="0" xfId="0"/>
    <xf numFmtId="10" fontId="6" fillId="0" borderId="0" pivotButton="0" quotePrefix="0" xfId="0"/>
    <xf numFmtId="164" fontId="5" fillId="3" borderId="0" pivotButton="0" quotePrefix="0" xfId="0"/>
    <xf numFmtId="164" fontId="4" fillId="0" borderId="0" pivotButton="0" quotePrefix="0" xfId="0"/>
    <xf numFmtId="165" fontId="5" fillId="3" borderId="0" pivotButton="0" quotePrefix="0" xfId="0"/>
    <xf numFmtId="166" fontId="6" fillId="0" borderId="0" pivotButton="0" quotePrefix="0" xfId="0"/>
    <xf numFmtId="166" fontId="5" fillId="3" borderId="0" pivotButton="0" quotePrefix="0" xfId="0"/>
    <xf numFmtId="166" fontId="4" fillId="0" borderId="0" pivotButton="0" quotePrefix="0" xfId="0"/>
    <xf numFmtId="165" fontId="5" fillId="0" borderId="0" pivotButton="0" quotePrefix="0" xfId="0"/>
    <xf numFmtId="165" fontId="4" fillId="0" borderId="0" pivotButton="0" quotePrefix="0" xfId="0"/>
    <xf numFmtId="167" fontId="5" fillId="0" borderId="0" pivotButton="0" quotePrefix="0" xfId="0"/>
    <xf numFmtId="167" fontId="4" fillId="0" borderId="0" pivotButton="0" quotePrefix="0" xfId="0"/>
    <xf numFmtId="166" fontId="5" fillId="0" borderId="0" pivotButton="0" quotePrefix="0" xfId="0"/>
    <xf numFmtId="168" fontId="4" fillId="0" borderId="0" pivotButton="0" quotePrefix="0" xfId="0"/>
    <xf numFmtId="0" fontId="8" fillId="0" borderId="0" pivotButton="0" quotePrefix="0" xfId="0"/>
    <xf numFmtId="166" fontId="3" fillId="0" borderId="0" pivotButton="0" quotePrefix="0" xfId="0"/>
    <xf numFmtId="168" fontId="3" fillId="0" borderId="0" pivotButton="0" quotePrefix="0" xfId="0"/>
    <xf numFmtId="0" fontId="3" fillId="5" borderId="0" pivotButton="0" quotePrefix="0" xfId="0"/>
    <xf numFmtId="0" fontId="4" fillId="5" borderId="0" pivotButton="0" quotePrefix="0" xfId="0"/>
    <xf numFmtId="166" fontId="5" fillId="5" borderId="0" pivotButton="0" quotePrefix="0" xfId="0"/>
    <xf numFmtId="168" fontId="4" fillId="5" borderId="0" pivotButton="0" quotePrefix="0" xfId="0"/>
    <xf numFmtId="166" fontId="4" fillId="5" borderId="0" pivotButton="0" quotePrefix="0" xfId="0"/>
    <xf numFmtId="165" fontId="3" fillId="0" borderId="0" pivotButton="0" quotePrefix="0" xfId="0"/>
    <xf numFmtId="165" fontId="6" fillId="0" borderId="0" pivotButton="0" quotePrefix="0" xfId="0"/>
    <xf numFmtId="1" fontId="5" fillId="0" borderId="0" pivotButton="0" quotePrefix="0" xfId="0"/>
    <xf numFmtId="168" fontId="0" fillId="0" borderId="0" pivotButton="0" quotePrefix="0" xfId="0"/>
    <xf numFmtId="0" fontId="7" fillId="4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2" borderId="0" pivotButton="0" quotePrefix="0" xfId="0"/>
    <xf numFmtId="164" fontId="6" fillId="0" borderId="0" pivotButton="0" quotePrefix="0" xfId="0"/>
    <xf numFmtId="1" fontId="4" fillId="0" borderId="0" pivotButton="0" quotePrefix="0" xfId="0"/>
    <xf numFmtId="169" fontId="6" fillId="0" borderId="0" pivotButton="0" quotePrefix="0" xfId="0"/>
    <xf numFmtId="170" fontId="4" fillId="0" borderId="0" pivotButton="0" quotePrefix="0" xfId="0"/>
    <xf numFmtId="169" fontId="4" fillId="0" borderId="0" pivotButton="0" quotePrefix="0" xfId="0"/>
    <xf numFmtId="168" fontId="5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Vento — Modelo financiero y plan de inversión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Versión 1 · octubre 2026 · valores en pesos colombianos (COP) salvo que diga US$</t>
        </is>
      </c>
    </row>
    <row r="4">
      <c r="A4" s="4" t="inlineStr">
        <is>
          <t>Cómo usarlo</t>
        </is>
      </c>
      <c r="B4" s="5" t="inlineStr"/>
    </row>
    <row r="5">
      <c r="A5" s="6" t="inlineStr">
        <is>
          <t>Celdas en AZUL</t>
        </is>
      </c>
      <c r="B5" s="5" t="inlineStr">
        <is>
          <t>Son supuestos que puedes cambiar (precios, clientes nuevos, salarios…). Todo lo demás se recalcula solo.</t>
        </is>
      </c>
    </row>
    <row r="6">
      <c r="A6" s="7" t="inlineStr">
        <is>
          <t>Celdas con fondo AMARILLO</t>
        </is>
      </c>
      <c r="B6" s="5" t="inlineStr">
        <is>
          <t>Supuestos clave: revísalos primero con datos reales de tus pilotos.</t>
        </is>
      </c>
    </row>
    <row r="7">
      <c r="A7" s="8" t="inlineStr">
        <is>
          <t>Texto VERDE</t>
        </is>
      </c>
      <c r="B7" s="5" t="inlineStr">
        <is>
          <t>Trae un valor de otra hoja.</t>
        </is>
      </c>
    </row>
    <row r="8">
      <c r="A8" s="4" t="inlineStr"/>
      <c r="B8" s="5" t="inlineStr"/>
    </row>
    <row r="9">
      <c r="A9" s="4" t="inlineStr">
        <is>
          <t>Hojas</t>
        </is>
      </c>
      <c r="B9" s="5" t="inlineStr"/>
    </row>
    <row r="10">
      <c r="A10" s="9" t="inlineStr">
        <is>
          <t>Supuestos</t>
        </is>
      </c>
      <c r="B10" s="5" t="inlineStr">
        <is>
          <t>Tasa de cambio, mezcla de planes, abandono, costos por cliente y crecimiento en 3 escenarios.</t>
        </is>
      </c>
    </row>
    <row r="11">
      <c r="A11" s="9" t="inlineStr">
        <is>
          <t>Competencia</t>
        </is>
      </c>
      <c r="B11" s="5" t="inlineStr">
        <is>
          <t>Precios públicos de otras soluciones en Colombia, con fuente.</t>
        </is>
      </c>
    </row>
    <row r="12">
      <c r="A12" s="9" t="inlineStr">
        <is>
          <t>Precios</t>
        </is>
      </c>
      <c r="B12" s="5" t="inlineStr">
        <is>
          <t>Tres formas de cobrar Vento (opciones A, B y C) en COP y US$.</t>
        </is>
      </c>
    </row>
    <row r="13">
      <c r="A13" s="9" t="inlineStr">
        <is>
          <t>Presupuesto</t>
        </is>
      </c>
      <c r="B13" s="5" t="inlineStr">
        <is>
          <t>Equipo y gastos mensuales, desde qué mes empieza cada uno, y gastos de arranque.</t>
        </is>
      </c>
    </row>
    <row r="14">
      <c r="A14" s="9" t="inlineStr">
        <is>
          <t>Proyección</t>
        </is>
      </c>
      <c r="B14" s="5" t="inlineStr">
        <is>
          <t>36 meses por escenario: clientes, ingresos, costos, resultado y caja.</t>
        </is>
      </c>
    </row>
    <row r="15">
      <c r="A15" s="9" t="inlineStr">
        <is>
          <t>Resumen</t>
        </is>
      </c>
      <c r="B15" s="5" t="inlineStr">
        <is>
          <t>Lo que se muestra a inversionistas: ingresos por año, punto de equilibrio y cuánta plata se necesita.</t>
        </is>
      </c>
    </row>
    <row r="16">
      <c r="A16" s="9" t="inlineStr">
        <is>
          <t>Unidad económica</t>
        </is>
      </c>
      <c r="B16" s="5" t="inlineStr">
        <is>
          <t>Cuánto vale un cliente (LTV), cuánto cuesta conseguirlo (CAC) y en cuánto se recupera.</t>
        </is>
      </c>
    </row>
    <row r="17">
      <c r="A17" s="9" t="inlineStr">
        <is>
          <t>Uso de fondos</t>
        </is>
      </c>
      <c r="B17" s="5" t="inlineStr">
        <is>
          <t>Tres tamaños de ronda y en qué se gasta cada peso.</t>
        </is>
      </c>
    </row>
    <row r="18">
      <c r="A18" s="4" t="inlineStr"/>
      <c r="B18" s="5" t="inlineStr"/>
    </row>
    <row r="19">
      <c r="A19" s="4" t="inlineStr">
        <is>
          <t>Importante</t>
        </is>
      </c>
      <c r="B19" s="5" t="inlineStr">
        <is>
          <t>Las proyecciones son ESTIMACIONES con supuestos, no resultados. Los salarios y costos son referencias para planear: confírmalos con cotizaciones reales antes de presentarlos como definitivos.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Resumen para inversionistas</t>
        </is>
      </c>
      <c r="B1" s="2" t="n"/>
      <c r="C1" s="2" t="n"/>
      <c r="D1" s="2" t="n"/>
    </row>
    <row r="2">
      <c r="A2" s="3" t="inlineStr">
        <is>
          <t>Se calcula solo desde la Proyección. COP salvo que diga US$.</t>
        </is>
      </c>
    </row>
    <row r="4">
      <c r="A4" s="10" t="inlineStr">
        <is>
          <t>Indicador</t>
        </is>
      </c>
      <c r="B4" s="10" t="inlineStr">
        <is>
          <t>Conservador</t>
        </is>
      </c>
      <c r="C4" s="10" t="inlineStr">
        <is>
          <t>Base</t>
        </is>
      </c>
      <c r="D4" s="10" t="inlineStr">
        <is>
          <t>Optimista</t>
        </is>
      </c>
    </row>
    <row r="5">
      <c r="A5" s="4" t="inlineStr">
        <is>
          <t>Clientes activos al final del año 1</t>
        </is>
      </c>
      <c r="B5" s="11">
        <f>INDEX(Proyección!$C$10:$AL$10,12)</f>
        <v/>
      </c>
      <c r="C5" s="12">
        <f>INDEX(Proyección!$C$24:$AL$24,12)</f>
        <v/>
      </c>
      <c r="D5" s="11">
        <f>INDEX(Proyección!$C$38:$AL$38,12)</f>
        <v/>
      </c>
    </row>
    <row r="6">
      <c r="A6" s="4" t="inlineStr">
        <is>
          <t>Clientes activos al final del año 2</t>
        </is>
      </c>
      <c r="B6" s="11">
        <f>INDEX(Proyección!$C$10:$AL$10,24)</f>
        <v/>
      </c>
      <c r="C6" s="12">
        <f>INDEX(Proyección!$C$24:$AL$24,24)</f>
        <v/>
      </c>
      <c r="D6" s="11">
        <f>INDEX(Proyección!$C$38:$AL$38,24)</f>
        <v/>
      </c>
    </row>
    <row r="7">
      <c r="A7" s="4" t="inlineStr">
        <is>
          <t>Clientes activos al final del año 3</t>
        </is>
      </c>
      <c r="B7" s="11">
        <f>INDEX(Proyección!$C$10:$AL$10,36)</f>
        <v/>
      </c>
      <c r="C7" s="12">
        <f>INDEX(Proyección!$C$24:$AL$24,36)</f>
        <v/>
      </c>
      <c r="D7" s="11">
        <f>INDEX(Proyección!$C$38:$AL$38,36)</f>
        <v/>
      </c>
    </row>
    <row r="8">
      <c r="A8" s="4" t="inlineStr">
        <is>
          <t>Ingresos año 1</t>
        </is>
      </c>
      <c r="B8" s="13">
        <f>SUMPRODUCT((Proyección!$C$5:$AL$5=1)*Proyección!$C$12:$AL$12)</f>
        <v/>
      </c>
      <c r="C8" s="14">
        <f>SUMPRODUCT((Proyección!$C$5:$AL$5=1)*Proyección!$C$26:$AL$26)</f>
        <v/>
      </c>
      <c r="D8" s="13">
        <f>SUMPRODUCT((Proyección!$C$5:$AL$5=1)*Proyección!$C$40:$AL$40)</f>
        <v/>
      </c>
    </row>
    <row r="9">
      <c r="A9" s="4" t="inlineStr">
        <is>
          <t>Ingresos año 2</t>
        </is>
      </c>
      <c r="B9" s="13">
        <f>SUMPRODUCT((Proyección!$C$5:$AL$5=2)*Proyección!$C$12:$AL$12)</f>
        <v/>
      </c>
      <c r="C9" s="14">
        <f>SUMPRODUCT((Proyección!$C$5:$AL$5=2)*Proyección!$C$26:$AL$26)</f>
        <v/>
      </c>
      <c r="D9" s="13">
        <f>SUMPRODUCT((Proyección!$C$5:$AL$5=2)*Proyección!$C$40:$AL$40)</f>
        <v/>
      </c>
    </row>
    <row r="10">
      <c r="A10" s="4" t="inlineStr">
        <is>
          <t>Ingresos año 3</t>
        </is>
      </c>
      <c r="B10" s="13">
        <f>SUMPRODUCT((Proyección!$C$5:$AL$5=3)*Proyección!$C$12:$AL$12)</f>
        <v/>
      </c>
      <c r="C10" s="14">
        <f>SUMPRODUCT((Proyección!$C$5:$AL$5=3)*Proyección!$C$26:$AL$26)</f>
        <v/>
      </c>
      <c r="D10" s="13">
        <f>SUMPRODUCT((Proyección!$C$5:$AL$5=3)*Proyección!$C$40:$AL$40)</f>
        <v/>
      </c>
    </row>
    <row r="11">
      <c r="A11" s="4" t="inlineStr">
        <is>
          <t>Ingresos año 3 en US$</t>
        </is>
      </c>
      <c r="B11" s="15">
        <f>SUMPRODUCT((Proyección!$C$5:$AL$5=3)*Proyección!$C$12:$AL$12)/Supuestos!$C$5</f>
        <v/>
      </c>
      <c r="C11" s="16">
        <f>SUMPRODUCT((Proyección!$C$5:$AL$5=3)*Proyección!$C$26:$AL$26)/Supuestos!$C$5</f>
        <v/>
      </c>
      <c r="D11" s="15">
        <f>SUMPRODUCT((Proyección!$C$5:$AL$5=3)*Proyección!$C$40:$AL$40)/Supuestos!$C$5</f>
        <v/>
      </c>
    </row>
    <row r="12">
      <c r="A12" s="4" t="inlineStr">
        <is>
          <t>Ingreso recurrente anual al mes 36 (ARR)</t>
        </is>
      </c>
      <c r="B12" s="13">
        <f>INDEX(Proyección!$C$12:$AL$12,36)*12</f>
        <v/>
      </c>
      <c r="C12" s="14">
        <f>INDEX(Proyección!$C$26:$AL$26,36)*12</f>
        <v/>
      </c>
      <c r="D12" s="13">
        <f>INDEX(Proyección!$C$40:$AL$40,36)*12</f>
        <v/>
      </c>
    </row>
    <row r="13">
      <c r="A13" s="4" t="inlineStr">
        <is>
          <t>ARR al mes 36 en US$</t>
        </is>
      </c>
      <c r="B13" s="15">
        <f>INDEX(Proyección!$C$12:$AL$12,36)*12/Supuestos!$C$5</f>
        <v/>
      </c>
      <c r="C13" s="16">
        <f>INDEX(Proyección!$C$26:$AL$26,36)*12/Supuestos!$C$5</f>
        <v/>
      </c>
      <c r="D13" s="15">
        <f>INDEX(Proyección!$C$40:$AL$40,36)*12/Supuestos!$C$5</f>
        <v/>
      </c>
    </row>
    <row r="14">
      <c r="A14" s="4" t="inlineStr">
        <is>
          <t>Resultado operativo año 3 (EBITDA)</t>
        </is>
      </c>
      <c r="B14" s="13">
        <f>SUMPRODUCT((Proyección!$C$5:$AL$5=3)*Proyección!$C$16:$AL$16)</f>
        <v/>
      </c>
      <c r="C14" s="14">
        <f>SUMPRODUCT((Proyección!$C$5:$AL$5=3)*Proyección!$C$30:$AL$30)</f>
        <v/>
      </c>
      <c r="D14" s="13">
        <f>SUMPRODUCT((Proyección!$C$5:$AL$5=3)*Proyección!$C$44:$AL$44)</f>
        <v/>
      </c>
    </row>
    <row r="15">
      <c r="A15" s="4" t="inlineStr">
        <is>
          <t>Mes del punto de equilibrio</t>
        </is>
      </c>
      <c r="B15" s="17">
        <f>IFERROR(MATCH(1,Proyección!$C$18:$AL$18,0),"después del mes 36")</f>
        <v/>
      </c>
      <c r="C15" s="18">
        <f>IFERROR(MATCH(1,Proyección!$C$32:$AL$32,0),"después del mes 36")</f>
        <v/>
      </c>
      <c r="D15" s="17">
        <f>IFERROR(MATCH(1,Proyección!$C$46:$AL$46,0),"después del mes 36")</f>
        <v/>
      </c>
    </row>
    <row r="16">
      <c r="A16" s="4" t="inlineStr">
        <is>
          <t>Plata necesaria para llegar ahí (caja mínima)</t>
        </is>
      </c>
      <c r="B16" s="13">
        <f>MAX(0,-MIN(Proyección!$C$17:$AL$17))</f>
        <v/>
      </c>
      <c r="C16" s="14">
        <f>MAX(0,-MIN(Proyección!$C$31:$AL$31))</f>
        <v/>
      </c>
      <c r="D16" s="13">
        <f>MAX(0,-MIN(Proyección!$C$45:$AL$45))</f>
        <v/>
      </c>
    </row>
    <row r="17">
      <c r="A17" s="4" t="inlineStr">
        <is>
          <t>Plata necesaria en US$</t>
        </is>
      </c>
      <c r="B17" s="15">
        <f>MAX(0,-MIN(Proyección!$C$17:$AL$17))/Supuestos!$C$5</f>
        <v/>
      </c>
      <c r="C17" s="16">
        <f>MAX(0,-MIN(Proyección!$C$31:$AL$31))/Supuestos!$C$5</f>
        <v/>
      </c>
      <c r="D17" s="15">
        <f>MAX(0,-MIN(Proyección!$C$45:$AL$45))/Supuestos!$C$5</f>
        <v/>
      </c>
    </row>
    <row r="19">
      <c r="A19" s="4" t="inlineStr">
        <is>
          <t>Participación del mercado al mes 36 (sobre 2,3 millones de micronegocios, DANE 2024)</t>
        </is>
      </c>
      <c r="B19" s="19">
        <f>INDEX(Proyección!$C$10:$AL$10,36)/2321469</f>
        <v/>
      </c>
      <c r="C19" s="19">
        <f>INDEX(Proyección!$C$24:$AL$24,36)/2321469</f>
        <v/>
      </c>
      <c r="D19" s="19">
        <f>INDEX(Proyección!$C$38:$AL$38,36)/2321469</f>
        <v/>
      </c>
    </row>
    <row r="21">
      <c r="A21" s="3" t="inlineStr">
        <is>
          <t>Lectura: incluso el escenario optimista llega a menos del 1 % de los micronegocios de las 24 ciudades principales.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14" customWidth="1" min="4" max="4"/>
    <col width="14" customWidth="1" min="5" max="5"/>
    <col width="80" customWidth="1" min="6" max="6"/>
  </cols>
  <sheetData>
    <row r="1">
      <c r="A1" s="1" t="inlineStr">
        <is>
          <t>Supuestos</t>
        </is>
      </c>
      <c r="B1" s="2" t="n"/>
      <c r="C1" s="2" t="n"/>
      <c r="D1" s="2" t="n"/>
      <c r="E1" s="2" t="n"/>
      <c r="F1" s="2" t="n"/>
    </row>
    <row r="2">
      <c r="A2" s="3" t="inlineStr">
        <is>
          <t>Cambia las celdas azules; el resto del libro se actualiza</t>
        </is>
      </c>
    </row>
    <row r="4">
      <c r="A4" s="10" t="inlineStr">
        <is>
          <t>Supuesto</t>
        </is>
      </c>
      <c r="B4" s="10" t="inlineStr">
        <is>
          <t>Unidad</t>
        </is>
      </c>
      <c r="C4" s="10" t="inlineStr">
        <is>
          <t>Conservador</t>
        </is>
      </c>
      <c r="D4" s="10" t="inlineStr">
        <is>
          <t>Base</t>
        </is>
      </c>
      <c r="E4" s="10" t="inlineStr">
        <is>
          <t>Optimista</t>
        </is>
      </c>
      <c r="F4" s="10" t="inlineStr">
        <is>
          <t>Nota / fuente</t>
        </is>
      </c>
    </row>
    <row r="5">
      <c r="A5" s="4" t="inlineStr">
        <is>
          <t>Tasa de cambio (TRM)</t>
        </is>
      </c>
      <c r="B5" s="9" t="inlineStr">
        <is>
          <t>COP por US$</t>
        </is>
      </c>
      <c r="C5" s="20" t="n">
        <v>3313</v>
      </c>
      <c r="D5" s="21">
        <f>$C$5</f>
        <v/>
      </c>
      <c r="E5" s="21">
        <f>$C$5</f>
        <v/>
      </c>
      <c r="F5" s="3" t="inlineStr">
        <is>
          <t>TRM del 1 de octubre de 2026: $3.312,84 (dolar-colombia.com).</t>
        </is>
      </c>
    </row>
    <row r="6">
      <c r="A6" s="4" t="inlineStr">
        <is>
          <t>Clientes nuevos el mes 1</t>
        </is>
      </c>
      <c r="B6" s="9" t="inlineStr">
        <is>
          <t>negocios</t>
        </is>
      </c>
      <c r="C6" s="20" t="n">
        <v>10</v>
      </c>
      <c r="D6" s="20" t="n">
        <v>20</v>
      </c>
      <c r="E6" s="20" t="n">
        <v>40</v>
      </c>
      <c r="F6" s="3" t="inlineStr">
        <is>
          <t>Estimación. Reemplazar con el resultado de los pilotos.</t>
        </is>
      </c>
    </row>
    <row r="7">
      <c r="A7" s="4" t="inlineStr">
        <is>
          <t>Crecimiento mensual de clientes nuevos</t>
        </is>
      </c>
      <c r="B7" s="9" t="inlineStr">
        <is>
          <t>% mensual</t>
        </is>
      </c>
      <c r="C7" s="22" t="n">
        <v>0.08</v>
      </c>
      <c r="D7" s="22" t="n">
        <v>0.1</v>
      </c>
      <c r="E7" s="22" t="n">
        <v>0.12</v>
      </c>
      <c r="F7" s="3" t="inlineStr">
        <is>
          <t>Estimación: ventas de campo + referidos + Play Store.</t>
        </is>
      </c>
    </row>
    <row r="8">
      <c r="A8" s="4" t="inlineStr">
        <is>
          <t>Abandono mensual (churn)</t>
        </is>
      </c>
      <c r="B8" s="9" t="inlineStr">
        <is>
          <t>% de activos</t>
        </is>
      </c>
      <c r="C8" s="22" t="n">
        <v>0.05</v>
      </c>
      <c r="D8" s="22" t="n">
        <v>0.04</v>
      </c>
      <c r="E8" s="22" t="n">
        <v>0.03</v>
      </c>
      <c r="F8" s="3" t="inlineStr">
        <is>
          <t>Estimación habitual para software de pequeños negocios; medir en pilotos.</t>
        </is>
      </c>
    </row>
    <row r="9">
      <c r="A9" s="4" t="inlineStr">
        <is>
          <t>Ingreso promedio por cliente (ARPU)</t>
        </is>
      </c>
      <c r="B9" s="9" t="inlineStr">
        <is>
          <t>COP / mes</t>
        </is>
      </c>
      <c r="C9" s="23">
        <f>Precios!$I$13</f>
        <v/>
      </c>
      <c r="D9" s="23">
        <f>Precios!$I$13</f>
        <v/>
      </c>
      <c r="E9" s="23">
        <f>Precios!$I$13</f>
        <v/>
      </c>
      <c r="F9" s="3" t="inlineStr">
        <is>
          <t>Calculado con los precios y la mezcla de la opción B (hoja Precios).</t>
        </is>
      </c>
    </row>
    <row r="10">
      <c r="A10" s="4" t="inlineStr">
        <is>
          <t>Costo variable por cliente</t>
        </is>
      </c>
      <c r="B10" s="9" t="inlineStr">
        <is>
          <t>COP / mes</t>
        </is>
      </c>
      <c r="C10" s="24" t="n">
        <v>6000</v>
      </c>
      <c r="D10" s="25">
        <f>$C$10</f>
        <v/>
      </c>
      <c r="E10" s="25">
        <f>$C$10</f>
        <v/>
      </c>
      <c r="F10" s="3" t="inlineStr">
        <is>
          <t>Estimado: servidor, IA, mensajes y soporte por cliente activo.</t>
        </is>
      </c>
    </row>
    <row r="11">
      <c r="A11" s="4" t="inlineStr">
        <is>
          <t>Comisión de cobro de la suscripción</t>
        </is>
      </c>
      <c r="B11" s="9" t="inlineStr">
        <is>
          <t>% del ingreso</t>
        </is>
      </c>
      <c r="C11" s="26" t="n">
        <v>0.03</v>
      </c>
      <c r="D11" s="27">
        <f>$C$11</f>
        <v/>
      </c>
      <c r="E11" s="27">
        <f>$C$11</f>
        <v/>
      </c>
      <c r="F11" s="3" t="inlineStr">
        <is>
          <t>Estimado si el cliente paga con pasarela o tienda de apps.</t>
        </is>
      </c>
    </row>
    <row r="12">
      <c r="A12" s="4" t="inlineStr">
        <is>
          <t>Costo de conseguir un cliente (CAC)</t>
        </is>
      </c>
      <c r="B12" s="9" t="inlineStr">
        <is>
          <t>COP</t>
        </is>
      </c>
      <c r="C12" s="24" t="n">
        <v>250000</v>
      </c>
      <c r="D12" s="25">
        <f>$C$12</f>
        <v/>
      </c>
      <c r="E12" s="25">
        <f>$C$12</f>
        <v/>
      </c>
      <c r="F12" s="3" t="inlineStr">
        <is>
          <t>Estimado: un vendedor de campo cuesta ~$4,3 M/mes con prestaciones y cierra ~20 negocios al mes, más material y pauta. Medir en pilotos.</t>
        </is>
      </c>
    </row>
    <row r="13">
      <c r="A13" s="4" t="inlineStr">
        <is>
          <t>Factor prestacional (salarios)</t>
        </is>
      </c>
      <c r="B13" s="9" t="inlineStr">
        <is>
          <t>veces el salario</t>
        </is>
      </c>
      <c r="C13" s="28" t="n">
        <v>1.52</v>
      </c>
      <c r="D13" s="29">
        <f>$C$13</f>
        <v/>
      </c>
      <c r="E13" s="29">
        <f>$C$13</f>
        <v/>
      </c>
      <c r="F13" s="3" t="inlineStr">
        <is>
          <t>Referencia habitual en Colombia para un empleado con todas las prestaciones; confirmar con el contador.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26" customWidth="1" min="3" max="3"/>
    <col width="18" customWidth="1" min="4" max="4"/>
    <col width="12" customWidth="1" min="5" max="5"/>
    <col width="90" customWidth="1" min="6" max="6"/>
  </cols>
  <sheetData>
    <row r="1">
      <c r="A1" s="1" t="inlineStr">
        <is>
          <t>Competencia en Colombia — precios públicos</t>
        </is>
      </c>
      <c r="B1" s="2" t="n"/>
      <c r="C1" s="2" t="n"/>
      <c r="D1" s="2" t="n"/>
      <c r="E1" s="2" t="n"/>
      <c r="F1" s="2" t="n"/>
    </row>
    <row r="2">
      <c r="A2" s="3" t="inlineStr">
        <is>
          <t>Solo datos encontrados en fuentes públicas (octubre 2026). Verifica en el sitio de cada empresa antes de citarlos.</t>
        </is>
      </c>
    </row>
    <row r="4">
      <c r="A4" s="10" t="inlineStr">
        <is>
          <t>Solución</t>
        </is>
      </c>
      <c r="B4" s="10" t="inlineStr">
        <is>
          <t>Qué es</t>
        </is>
      </c>
      <c r="C4" s="10" t="inlineStr">
        <is>
          <t>Precio publicado</t>
        </is>
      </c>
      <c r="D4" s="10" t="inlineStr">
        <is>
          <t>COP / mes (aprox.)</t>
        </is>
      </c>
      <c r="E4" s="10" t="inlineStr">
        <is>
          <t>US$ / mes</t>
        </is>
      </c>
      <c r="F4" s="10" t="inlineStr">
        <is>
          <t>Fuente</t>
        </is>
      </c>
    </row>
    <row r="5">
      <c r="A5" s="4" t="inlineStr">
        <is>
          <t>Alegra (plan Pyme)</t>
        </is>
      </c>
      <c r="B5" s="9" t="inlineStr">
        <is>
          <t>Contabilidad + factura electrónica + POS</t>
        </is>
      </c>
      <c r="C5" s="6" t="inlineStr">
        <is>
          <t>$163.900 COP / mes</t>
        </is>
      </c>
      <c r="D5" s="30" t="n">
        <v>163900</v>
      </c>
      <c r="E5" s="31">
        <f>D5/Supuestos!$C$5</f>
        <v/>
      </c>
      <c r="F5" s="32" t="inlineStr">
        <is>
          <t>https://blog.alegra.com/colombia/alegra-vs-siigo-colombia/</t>
        </is>
      </c>
    </row>
    <row r="6">
      <c r="A6" s="4" t="inlineStr">
        <is>
          <t>Siigo Nube (Emprendedor)</t>
        </is>
      </c>
      <c r="B6" s="9" t="inlineStr">
        <is>
          <t>Contabilidad y facturación</t>
        </is>
      </c>
      <c r="C6" s="6" t="inlineStr">
        <is>
          <t>$191.327 COP / mes</t>
        </is>
      </c>
      <c r="D6" s="30" t="n">
        <v>191327</v>
      </c>
      <c r="E6" s="31">
        <f>D6/Supuestos!$C$5</f>
        <v/>
      </c>
      <c r="F6" s="32" t="inlineStr">
        <is>
          <t>https://blog.alegra.com/colombia/alegra-vs-siigo-colombia/</t>
        </is>
      </c>
    </row>
    <row r="7">
      <c r="A7" s="4" t="inlineStr">
        <is>
          <t>Siigo POS Gastrobar</t>
        </is>
      </c>
      <c r="B7" s="9" t="inlineStr">
        <is>
          <t>POS para restaurantes y bares</t>
        </is>
      </c>
      <c r="C7" s="6" t="inlineStr">
        <is>
          <t>desde $124.992 COP / mes</t>
        </is>
      </c>
      <c r="D7" s="30" t="n">
        <v>124992</v>
      </c>
      <c r="E7" s="31">
        <f>D7/Supuestos!$C$5</f>
        <v/>
      </c>
      <c r="F7" s="32" t="inlineStr">
        <is>
          <t>https://www.descubre.vc/noticia/siigo-lanza-pos-gastrobar-para-restaurantes-y-bares-en-colombia-2025-08-19</t>
        </is>
      </c>
    </row>
    <row r="8">
      <c r="A8" s="4" t="inlineStr">
        <is>
          <t>Fudo (planes internacionales)</t>
        </is>
      </c>
      <c r="B8" s="9" t="inlineStr">
        <is>
          <t>Software para restaurantes</t>
        </is>
      </c>
      <c r="C8" s="6" t="inlineStr">
        <is>
          <t>US$35 – US$45 / mes</t>
        </is>
      </c>
      <c r="D8" s="25">
        <f>40*Supuestos!$C$5</f>
        <v/>
      </c>
      <c r="E8" s="31">
        <f>D8/Supuestos!$C$5</f>
        <v/>
      </c>
      <c r="F8" s="32" t="inlineStr">
        <is>
          <t>https://www.capterra.co.uk/software/1023879/fudo</t>
        </is>
      </c>
    </row>
    <row r="9">
      <c r="A9" s="4" t="inlineStr">
        <is>
          <t>Treinta</t>
        </is>
      </c>
      <c r="B9" s="9" t="inlineStr">
        <is>
          <t>App para micronegocios (ventas, fiados, inventario)</t>
        </is>
      </c>
      <c r="C9" s="6" t="inlineStr">
        <is>
          <t>Gratis (funciones básicas)</t>
        </is>
      </c>
      <c r="D9" s="30" t="n">
        <v>0</v>
      </c>
      <c r="E9" s="31">
        <f>D9/Supuestos!$C$5</f>
        <v/>
      </c>
      <c r="F9" s="32" t="inlineStr">
        <is>
          <t>https://www.larepublica.co/finanzas/queremos-ser-la-super-app-de-referencia-para-los-micronegocios-de-america-latina-3404790</t>
        </is>
      </c>
    </row>
    <row r="10">
      <c r="A10" s="4" t="inlineStr">
        <is>
          <t>Bold (datáfono)</t>
        </is>
      </c>
      <c r="B10" s="9" t="inlineStr">
        <is>
          <t>Cobros con tarjeta y QR</t>
        </is>
      </c>
      <c r="C10" s="6" t="inlineStr">
        <is>
          <t>2,99 % por transacción</t>
        </is>
      </c>
      <c r="D10" s="9" t="inlineStr">
        <is>
          <t>no aplica (cobra por venta)</t>
        </is>
      </c>
      <c r="F10" s="32" t="inlineStr">
        <is>
          <t>https://www.larepublica.co/finanzas/la-fintech-bold-llego-a-230-000-comercios-y-anuncio-su-nuevo-proyecto-bold-smart-3430336</t>
        </is>
      </c>
    </row>
    <row r="12">
      <c r="A12" s="4" t="inlineStr">
        <is>
          <t>Promedio de las soluciones pagas con precio mensual</t>
        </is>
      </c>
      <c r="D12" s="33">
        <f>AVERAGE(D5:D8)</f>
        <v/>
      </c>
      <c r="E12" s="34">
        <f>D12/Supuestos!$C$5</f>
        <v/>
      </c>
    </row>
    <row r="13">
      <c r="A13" s="3" t="inlineStr">
        <is>
          <t>Fudo: se usa el punto medio (US$40) convertido con la TRM.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0" customWidth="1" min="3" max="3"/>
    <col width="52" customWidth="1" min="4" max="4"/>
    <col width="16" customWidth="1" min="5" max="5"/>
    <col width="11" customWidth="1" min="6" max="6"/>
    <col width="22" customWidth="1" min="7" max="7"/>
    <col width="14" customWidth="1" min="8" max="8"/>
    <col width="14" customWidth="1" min="9" max="9"/>
  </cols>
  <sheetData>
    <row r="1">
      <c r="A1" s="1" t="inlineStr">
        <is>
          <t>Cómo cobrar Vento — tres opciones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Los precios son propuestas (azul). La opción B es la recomendada y alimenta el modelo.</t>
        </is>
      </c>
    </row>
    <row r="4">
      <c r="A4" s="10" t="inlineStr">
        <is>
          <t>Opción</t>
        </is>
      </c>
      <c r="B4" s="10" t="inlineStr">
        <is>
          <t>Plan</t>
        </is>
      </c>
      <c r="C4" s="10" t="inlineStr">
        <is>
          <t>Para quién</t>
        </is>
      </c>
      <c r="D4" s="10" t="inlineStr">
        <is>
          <t>Incluye</t>
        </is>
      </c>
      <c r="E4" s="10" t="inlineStr">
        <is>
          <t>Precio COP / mes</t>
        </is>
      </c>
      <c r="F4" s="10" t="inlineStr">
        <is>
          <t>US$ / mes</t>
        </is>
      </c>
      <c r="G4" s="10" t="inlineStr">
        <is>
          <t>Precio anual (2 meses gratis)</t>
        </is>
      </c>
      <c r="H4" s="10" t="inlineStr">
        <is>
          <t>Mezcla esperada</t>
        </is>
      </c>
      <c r="I4" s="10" t="inlineStr">
        <is>
          <t>Aporte al ARPU</t>
        </is>
      </c>
    </row>
    <row r="5">
      <c r="A5" s="4" t="inlineStr">
        <is>
          <t>A · Gratis + Pro</t>
        </is>
      </c>
      <c r="B5" s="4" t="inlineStr">
        <is>
          <t>Gratis</t>
        </is>
      </c>
      <c r="C5" s="9" t="inlineStr">
        <is>
          <t>Tiendas que empiezan</t>
        </is>
      </c>
      <c r="D5" s="9" t="inlineStr">
        <is>
          <t>Ventas, fiados, 1 celular, sin IA ni QR</t>
        </is>
      </c>
      <c r="E5" s="30" t="n">
        <v>0</v>
      </c>
      <c r="F5" s="31">
        <f>E5/Supuestos!$C$5</f>
        <v/>
      </c>
      <c r="G5" s="25">
        <f>E5*10</f>
        <v/>
      </c>
    </row>
    <row r="6">
      <c r="A6" s="4" t="inlineStr">
        <is>
          <t>A · Gratis + Pro</t>
        </is>
      </c>
      <c r="B6" s="4" t="inlineStr">
        <is>
          <t>Pro</t>
        </is>
      </c>
      <c r="C6" s="9" t="inlineStr">
        <is>
          <t>Negocios que crecen</t>
        </is>
      </c>
      <c r="D6" s="9" t="inlineStr">
        <is>
          <t>Todo: voz, IA, QR, música, pagos verificados</t>
        </is>
      </c>
      <c r="E6" s="30" t="n">
        <v>59900</v>
      </c>
      <c r="F6" s="31">
        <f>E6/Supuestos!$C$5</f>
        <v/>
      </c>
      <c r="G6" s="25">
        <f>E6*10</f>
        <v/>
      </c>
    </row>
    <row r="7">
      <c r="A7" s="35" t="inlineStr">
        <is>
          <t>B · Por tamaño (recomendada)</t>
        </is>
      </c>
      <c r="B7" s="35" t="inlineStr">
        <is>
          <t>Tienda</t>
        </is>
      </c>
      <c r="C7" s="36" t="inlineStr">
        <is>
          <t>Tienda de barrio, 1 caja</t>
        </is>
      </c>
      <c r="D7" s="36" t="inlineStr">
        <is>
          <t>1 celular, voz, fiados, inventario, pagos verificados</t>
        </is>
      </c>
      <c r="E7" s="37" t="n">
        <v>39900</v>
      </c>
      <c r="F7" s="38">
        <f>E7/Supuestos!$C$5</f>
        <v/>
      </c>
      <c r="G7" s="39">
        <f>E7*10</f>
        <v/>
      </c>
      <c r="H7" s="22" t="n">
        <v>0.4</v>
      </c>
      <c r="I7" s="39">
        <f>E7*H7</f>
        <v/>
      </c>
    </row>
    <row r="8">
      <c r="A8" s="35" t="inlineStr">
        <is>
          <t>B · Por tamaño (recomendada)</t>
        </is>
      </c>
      <c r="B8" s="35" t="inlineStr">
        <is>
          <t>Restobar</t>
        </is>
      </c>
      <c r="C8" s="36" t="inlineStr">
        <is>
          <t>Bares, restaurantes, cafés</t>
        </is>
      </c>
      <c r="D8" s="36" t="inlineStr">
        <is>
          <t>Hasta 5 equipos, mesas, QR, música en el TV, Vento IA</t>
        </is>
      </c>
      <c r="E8" s="37" t="n">
        <v>79900</v>
      </c>
      <c r="F8" s="38">
        <f>E8/Supuestos!$C$5</f>
        <v/>
      </c>
      <c r="G8" s="39">
        <f>E8*10</f>
        <v/>
      </c>
      <c r="H8" s="22" t="n">
        <v>0.45</v>
      </c>
      <c r="I8" s="39">
        <f>E8*H8</f>
        <v/>
      </c>
    </row>
    <row r="9">
      <c r="A9" s="35" t="inlineStr">
        <is>
          <t>B · Por tamaño (recomendada)</t>
        </is>
      </c>
      <c r="B9" s="35" t="inlineStr">
        <is>
          <t>Plus</t>
        </is>
      </c>
      <c r="C9" s="36" t="inlineStr">
        <is>
          <t>Varios locales o equipos grandes</t>
        </is>
      </c>
      <c r="D9" s="36" t="inlineStr">
        <is>
          <t>Equipos ilimitados, varias sedes, soporte prioritario</t>
        </is>
      </c>
      <c r="E9" s="37" t="n">
        <v>149900</v>
      </c>
      <c r="F9" s="38">
        <f>E9/Supuestos!$C$5</f>
        <v/>
      </c>
      <c r="G9" s="39">
        <f>E9*10</f>
        <v/>
      </c>
      <c r="H9" s="22" t="n">
        <v>0.15</v>
      </c>
      <c r="I9" s="39">
        <f>E9*H9</f>
        <v/>
      </c>
    </row>
    <row r="10">
      <c r="A10" s="4" t="inlineStr">
        <is>
          <t>C · De por vida</t>
        </is>
      </c>
      <c r="B10" s="4" t="inlineStr">
        <is>
          <t>Licencia única</t>
        </is>
      </c>
      <c r="C10" s="9" t="inlineStr">
        <is>
          <t>Dueños que prefieren comprar</t>
        </is>
      </c>
      <c r="D10" s="9" t="inlineStr">
        <is>
          <t>Pago único + mantenimiento mensual de nube e IA</t>
        </is>
      </c>
      <c r="E10" s="30" t="n">
        <v>990000</v>
      </c>
      <c r="F10" s="31">
        <f>E10/Supuestos!$C$5</f>
        <v/>
      </c>
      <c r="G10" s="9" t="inlineStr">
        <is>
          <t>pago único</t>
        </is>
      </c>
    </row>
    <row r="11">
      <c r="A11" s="4" t="inlineStr">
        <is>
          <t>C · De por vida</t>
        </is>
      </c>
      <c r="B11" s="4" t="inlineStr">
        <is>
          <t>Mantenimiento</t>
        </is>
      </c>
      <c r="C11" s="9" t="inlineStr">
        <is>
          <t>Quien compró la licencia</t>
        </is>
      </c>
      <c r="D11" s="9" t="inlineStr">
        <is>
          <t>Nube, IA, actualizaciones y soporte</t>
        </is>
      </c>
      <c r="E11" s="30" t="n">
        <v>19900</v>
      </c>
      <c r="F11" s="31">
        <f>E11/Supuestos!$C$5</f>
        <v/>
      </c>
      <c r="G11" s="25">
        <f>E11*10</f>
        <v/>
      </c>
    </row>
    <row r="12">
      <c r="A12" s="4" t="inlineStr">
        <is>
          <t>Revisión: la mezcla de la opción B debe sumar 100 %</t>
        </is>
      </c>
      <c r="H12" s="40">
        <f>SUM(H7:H9)</f>
        <v/>
      </c>
    </row>
    <row r="13">
      <c r="A13" s="4" t="inlineStr">
        <is>
          <t>ARPU de la opción B (ingreso promedio por cliente al mes)</t>
        </is>
      </c>
      <c r="I13" s="33">
        <f>SUM(I7:I9)</f>
        <v/>
      </c>
    </row>
    <row r="14">
      <c r="A14" s="4" t="inlineStr">
        <is>
          <t>Comparado con el promedio de la competencia paga</t>
        </is>
      </c>
      <c r="I14" s="41">
        <f>IFERROR(I13/Competencia!D12,0)</f>
        <v/>
      </c>
    </row>
    <row r="15">
      <c r="A15" s="3" t="inlineStr">
        <is>
          <t>Lectura: Vento cuesta menos que las soluciones de contabilidad/POS y no cobra comisión por venta como un datáfono.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8" customWidth="1" min="3" max="3"/>
    <col width="12" customWidth="1" min="4" max="4"/>
    <col width="22" customWidth="1" min="5" max="5"/>
    <col width="12" customWidth="1" min="6" max="6"/>
    <col width="70" customWidth="1" min="7" max="7"/>
  </cols>
  <sheetData>
    <row r="1">
      <c r="A1" s="1" t="inlineStr">
        <is>
          <t>Presupuesto — equipo y gastos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Valores de referencia para planear (azul). Desde el mes indicado el gasto entra a la proyección.</t>
        </is>
      </c>
    </row>
    <row r="4">
      <c r="A4" s="10" t="inlineStr">
        <is>
          <t>Concepto</t>
        </is>
      </c>
      <c r="B4" s="10" t="inlineStr">
        <is>
          <t>Tipo</t>
        </is>
      </c>
      <c r="C4" s="10" t="inlineStr">
        <is>
          <t>Valor mensual COP</t>
        </is>
      </c>
      <c r="D4" s="10" t="inlineStr">
        <is>
          <t>Desde el mes</t>
        </is>
      </c>
      <c r="E4" s="10" t="inlineStr">
        <is>
          <t>Costo mensual total COP</t>
        </is>
      </c>
      <c r="F4" s="10" t="inlineStr">
        <is>
          <t>US$ / mes</t>
        </is>
      </c>
      <c r="G4" s="10" t="inlineStr">
        <is>
          <t>Nota</t>
        </is>
      </c>
    </row>
    <row r="5">
      <c r="A5" s="9" t="inlineStr">
        <is>
          <t>Fundador — producto y tecnología</t>
        </is>
      </c>
      <c r="B5" s="6" t="inlineStr">
        <is>
          <t>Salario</t>
        </is>
      </c>
      <c r="C5" s="30" t="n">
        <v>6000000</v>
      </c>
      <c r="D5" s="42" t="n">
        <v>1</v>
      </c>
      <c r="E5" s="25">
        <f>IF(B5="Salario",C5*Supuestos!$C$13,C5)</f>
        <v/>
      </c>
      <c r="F5" s="31">
        <f>E5/Supuestos!$C$5</f>
        <v/>
      </c>
      <c r="G5" s="3" t="inlineStr">
        <is>
          <t>Hoy trabajan 2 fundadores (padre e hijo); salario a partir de la inversión.</t>
        </is>
      </c>
    </row>
    <row r="6">
      <c r="A6" s="9" t="inlineStr">
        <is>
          <t>Cofundador — operación y relación con negocios</t>
        </is>
      </c>
      <c r="B6" s="6" t="inlineStr">
        <is>
          <t>Salario</t>
        </is>
      </c>
      <c r="C6" s="30" t="n">
        <v>5000000</v>
      </c>
      <c r="D6" s="42" t="n">
        <v>1</v>
      </c>
      <c r="E6" s="25">
        <f>IF(B6="Salario",C6*Supuestos!$C$13,C6)</f>
        <v/>
      </c>
      <c r="F6" s="31">
        <f>E6/Supuestos!$C$5</f>
        <v/>
      </c>
      <c r="G6" s="3" t="inlineStr">
        <is>
          <t>Confirmar el rol exacto de cada fundador.</t>
        </is>
      </c>
    </row>
    <row r="7">
      <c r="A7" s="9" t="inlineStr">
        <is>
          <t>Desarrollador(a) full-stack</t>
        </is>
      </c>
      <c r="B7" s="6" t="inlineStr">
        <is>
          <t>Salario</t>
        </is>
      </c>
      <c r="C7" s="30" t="n">
        <v>7000000</v>
      </c>
      <c r="D7" s="42" t="n">
        <v>2</v>
      </c>
      <c r="E7" s="25">
        <f>IF(B7="Salario",C7*Supuestos!$C$13,C7)</f>
        <v/>
      </c>
      <c r="F7" s="31">
        <f>E7/Supuestos!$C$5</f>
        <v/>
      </c>
      <c r="G7" s="3" t="inlineStr">
        <is>
          <t>Separar index.html en módulos, Play Store, nube.</t>
        </is>
      </c>
    </row>
    <row r="8">
      <c r="A8" s="9" t="inlineStr">
        <is>
          <t>Vendedor(a) de campo 1</t>
        </is>
      </c>
      <c r="B8" s="6" t="inlineStr">
        <is>
          <t>Salario</t>
        </is>
      </c>
      <c r="C8" s="30" t="n">
        <v>2800000</v>
      </c>
      <c r="D8" s="42" t="n">
        <v>2</v>
      </c>
      <c r="E8" s="25">
        <f>IF(B8="Salario",C8*Supuestos!$C$13,C8)</f>
        <v/>
      </c>
      <c r="F8" s="31">
        <f>E8/Supuestos!$C$5</f>
        <v/>
      </c>
      <c r="G8" s="3" t="inlineStr">
        <is>
          <t>Visitas a bares, restaurantes y tiendas.</t>
        </is>
      </c>
    </row>
    <row r="9">
      <c r="A9" s="9" t="inlineStr">
        <is>
          <t>Marketing digital y contenido</t>
        </is>
      </c>
      <c r="B9" s="6" t="inlineStr">
        <is>
          <t>Gasto</t>
        </is>
      </c>
      <c r="C9" s="30" t="n">
        <v>3000000</v>
      </c>
      <c r="D9" s="42" t="n">
        <v>2</v>
      </c>
      <c r="E9" s="25">
        <f>IF(B9="Salario",C9*Supuestos!$C$13,C9)</f>
        <v/>
      </c>
      <c r="F9" s="31">
        <f>E9/Supuestos!$C$5</f>
        <v/>
      </c>
      <c r="G9" s="3" t="inlineStr">
        <is>
          <t>Pauta, video, TikTok/Instagram, ficha de Play Store.</t>
        </is>
      </c>
    </row>
    <row r="10">
      <c r="A10" s="9" t="inlineStr">
        <is>
          <t>Diseño UX (medio tiempo)</t>
        </is>
      </c>
      <c r="B10" s="6" t="inlineStr">
        <is>
          <t>Salario</t>
        </is>
      </c>
      <c r="C10" s="30" t="n">
        <v>3000000</v>
      </c>
      <c r="D10" s="42" t="n">
        <v>3</v>
      </c>
      <c r="E10" s="25">
        <f>IF(B10="Salario",C10*Supuestos!$C$13,C10)</f>
        <v/>
      </c>
      <c r="F10" s="31">
        <f>E10/Supuestos!$C$5</f>
        <v/>
      </c>
      <c r="G10" s="3" t="inlineStr">
        <is>
          <t>Primer uso, modo básico, ficha de Play.</t>
        </is>
      </c>
    </row>
    <row r="11">
      <c r="A11" s="9" t="inlineStr">
        <is>
          <t>Desarrollador(a) Android / QA</t>
        </is>
      </c>
      <c r="B11" s="6" t="inlineStr">
        <is>
          <t>Salario</t>
        </is>
      </c>
      <c r="C11" s="30" t="n">
        <v>6000000</v>
      </c>
      <c r="D11" s="42" t="n">
        <v>4</v>
      </c>
      <c r="E11" s="25">
        <f>IF(B11="Salario",C11*Supuestos!$C$13,C11)</f>
        <v/>
      </c>
      <c r="F11" s="31">
        <f>E11/Supuestos!$C$5</f>
        <v/>
      </c>
      <c r="G11" s="3" t="inlineStr">
        <is>
          <t>App nativa, pruebas en celulares reales.</t>
        </is>
      </c>
    </row>
    <row r="12">
      <c r="A12" s="9" t="inlineStr">
        <is>
          <t>Soporte al cliente</t>
        </is>
      </c>
      <c r="B12" s="6" t="inlineStr">
        <is>
          <t>Salario</t>
        </is>
      </c>
      <c r="C12" s="30" t="n">
        <v>2500000</v>
      </c>
      <c r="D12" s="42" t="n">
        <v>4</v>
      </c>
      <c r="E12" s="25">
        <f>IF(B12="Salario",C12*Supuestos!$C$13,C12)</f>
        <v/>
      </c>
      <c r="F12" s="31">
        <f>E12/Supuestos!$C$5</f>
        <v/>
      </c>
      <c r="G12" s="3" t="inlineStr">
        <is>
          <t>WhatsApp, capacitación, instalación.</t>
        </is>
      </c>
    </row>
    <row r="13">
      <c r="A13" s="9" t="inlineStr">
        <is>
          <t>Vendedor(a) de campo 2</t>
        </is>
      </c>
      <c r="B13" s="6" t="inlineStr">
        <is>
          <t>Salario</t>
        </is>
      </c>
      <c r="C13" s="30" t="n">
        <v>2800000</v>
      </c>
      <c r="D13" s="42" t="n">
        <v>6</v>
      </c>
      <c r="E13" s="25">
        <f>IF(B13="Salario",C13*Supuestos!$C$13,C13)</f>
        <v/>
      </c>
      <c r="F13" s="31">
        <f>E13/Supuestos!$C$5</f>
        <v/>
      </c>
      <c r="G13" s="3" t="inlineStr">
        <is>
          <t>Segunda ciudad.</t>
        </is>
      </c>
    </row>
    <row r="14">
      <c r="A14" s="9" t="inlineStr">
        <is>
          <t>Infraestructura y herramientas</t>
        </is>
      </c>
      <c r="B14" s="6" t="inlineStr">
        <is>
          <t>Gasto</t>
        </is>
      </c>
      <c r="C14" s="30" t="n">
        <v>600000</v>
      </c>
      <c r="D14" s="42" t="n">
        <v>1</v>
      </c>
      <c r="E14" s="25">
        <f>IF(B14="Salario",C14*Supuestos!$C$13,C14)</f>
        <v/>
      </c>
      <c r="F14" s="31">
        <f>E14/Supuestos!$C$5</f>
        <v/>
      </c>
      <c r="G14" s="3" t="inlineStr">
        <is>
          <t>Servidor, dominio, correo, herramientas de desarrollo.</t>
        </is>
      </c>
    </row>
    <row r="15">
      <c r="A15" s="9" t="inlineStr">
        <is>
          <t>Contador y asesoría legal</t>
        </is>
      </c>
      <c r="B15" s="6" t="inlineStr">
        <is>
          <t>Gasto</t>
        </is>
      </c>
      <c r="C15" s="30" t="n">
        <v>1500000</v>
      </c>
      <c r="D15" s="42" t="n">
        <v>1</v>
      </c>
      <c r="E15" s="25">
        <f>IF(B15="Salario",C15*Supuestos!$C$13,C15)</f>
        <v/>
      </c>
      <c r="F15" s="31">
        <f>E15/Supuestos!$C$5</f>
        <v/>
      </c>
      <c r="G15" s="3" t="inlineStr">
        <is>
          <t>Contabilidad, habeas data, contratos.</t>
        </is>
      </c>
    </row>
    <row r="16">
      <c r="A16" s="9" t="inlineStr">
        <is>
          <t>Oficina / coworking</t>
        </is>
      </c>
      <c r="B16" s="6" t="inlineStr">
        <is>
          <t>Gasto</t>
        </is>
      </c>
      <c r="C16" s="30" t="n">
        <v>1500000</v>
      </c>
      <c r="D16" s="42" t="n">
        <v>3</v>
      </c>
      <c r="E16" s="25">
        <f>IF(B16="Salario",C16*Supuestos!$C$13,C16)</f>
        <v/>
      </c>
      <c r="F16" s="31">
        <f>E16/Supuestos!$C$5</f>
        <v/>
      </c>
      <c r="G16" s="3" t="inlineStr">
        <is>
          <t>Opcional.</t>
        </is>
      </c>
    </row>
    <row r="17">
      <c r="A17" s="4" t="inlineStr">
        <is>
          <t>Gasto mensual con todo el equipo</t>
        </is>
      </c>
      <c r="E17" s="33">
        <f>SUM(E5:E16)</f>
        <v/>
      </c>
      <c r="F17" s="34">
        <f>E17/Supuestos!$C$5</f>
        <v/>
      </c>
    </row>
    <row r="19">
      <c r="A19" s="4" t="inlineStr">
        <is>
          <t>Gastos de arranque (una sola vez)</t>
        </is>
      </c>
    </row>
    <row r="20">
      <c r="A20" s="10" t="inlineStr">
        <is>
          <t>Concepto</t>
        </is>
      </c>
      <c r="B20" s="10" t="inlineStr"/>
      <c r="C20" s="10" t="inlineStr">
        <is>
          <t>Valor COP</t>
        </is>
      </c>
      <c r="D20" s="10" t="inlineStr"/>
      <c r="E20" s="10" t="inlineStr"/>
      <c r="F20" s="10" t="inlineStr">
        <is>
          <t>US$</t>
        </is>
      </c>
      <c r="G20" s="10" t="inlineStr">
        <is>
          <t>Nota</t>
        </is>
      </c>
    </row>
    <row r="21">
      <c r="A21" s="9" t="inlineStr">
        <is>
          <t>Cuenta de desarrollador de Google Play</t>
        </is>
      </c>
      <c r="C21" s="25">
        <f>25*Supuestos!$C$5</f>
        <v/>
      </c>
      <c r="F21" s="43">
        <f>C21/Supuestos!$C$5</f>
        <v/>
      </c>
      <c r="G21" s="3" t="inlineStr">
        <is>
          <t>US$25, pago único (Google).</t>
        </is>
      </c>
    </row>
    <row r="22">
      <c r="A22" s="9" t="inlineStr">
        <is>
          <t>Constitución de la empresa (SAS) y registros</t>
        </is>
      </c>
      <c r="C22" s="30" t="n">
        <v>1000000</v>
      </c>
      <c r="F22" s="43">
        <f>C22/Supuestos!$C$5</f>
        <v/>
      </c>
      <c r="G22" s="3" t="inlineStr">
        <is>
          <t>Estimado: confirmar en la Cámara de Comercio.</t>
        </is>
      </c>
    </row>
    <row r="23">
      <c r="A23" s="9" t="inlineStr">
        <is>
          <t>Registro de la marca «Vento» (SIC)</t>
        </is>
      </c>
      <c r="C23" s="30" t="n">
        <v>1500000</v>
      </c>
      <c r="F23" s="43">
        <f>C23/Supuestos!$C$5</f>
        <v/>
      </c>
      <c r="G23" s="3" t="inlineStr">
        <is>
          <t>Estimado: confirmar tarifa vigente de la SIC y búsqueda de antecedentes.</t>
        </is>
      </c>
    </row>
    <row r="24">
      <c r="A24" s="9" t="inlineStr">
        <is>
          <t>Política de privacidad y términos (abogado)</t>
        </is>
      </c>
      <c r="C24" s="30" t="n">
        <v>2000000</v>
      </c>
      <c r="F24" s="43">
        <f>C24/Supuestos!$C$5</f>
        <v/>
      </c>
      <c r="G24" s="3" t="inlineStr">
        <is>
          <t>Estimado.</t>
        </is>
      </c>
    </row>
    <row r="25">
      <c r="A25" s="9" t="inlineStr">
        <is>
          <t>Integración de factura electrónica DIAN (proveedor)</t>
        </is>
      </c>
      <c r="C25" s="30" t="n">
        <v>5000000</v>
      </c>
      <c r="F25" s="43">
        <f>C25/Supuestos!$C$5</f>
        <v/>
      </c>
      <c r="G25" s="3" t="inlineStr">
        <is>
          <t>Estimado: depende del proveedor tecnológico autorizado.</t>
        </is>
      </c>
    </row>
    <row r="26">
      <c r="A26" s="9" t="inlineStr">
        <is>
          <t>Celulares y tabletas de prueba</t>
        </is>
      </c>
      <c r="C26" s="30" t="n">
        <v>4000000</v>
      </c>
      <c r="F26" s="43">
        <f>C26/Supuestos!$C$5</f>
        <v/>
      </c>
      <c r="G26" s="3" t="inlineStr">
        <is>
          <t>Varias marcas y gamas.</t>
        </is>
      </c>
    </row>
    <row r="27">
      <c r="A27" s="9" t="inlineStr">
        <is>
          <t>Marca, video y ficha de la Play Store</t>
        </is>
      </c>
      <c r="C27" s="30" t="n">
        <v>2000000</v>
      </c>
      <c r="F27" s="43">
        <f>C27/Supuestos!$C$5</f>
        <v/>
      </c>
      <c r="G27" s="3" t="inlineStr">
        <is>
          <t>Estimado.</t>
        </is>
      </c>
    </row>
    <row r="28">
      <c r="A28" s="4" t="inlineStr">
        <is>
          <t>Total gastos de arranque</t>
        </is>
      </c>
      <c r="C28" s="33">
        <f>SUM(C21:C27)</f>
        <v/>
      </c>
      <c r="F28" s="34">
        <f>C28/Supuestos!$C$5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4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>
      <c r="A1" s="1" t="inlineStr">
        <is>
          <t>Proyección a 36 meses por escenario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</row>
    <row r="2">
      <c r="A2" s="3" t="inlineStr">
        <is>
          <t>COP. Clientes y ingresos con los supuestos de cada escenario; gastos fijos según el Presupuesto.</t>
        </is>
      </c>
    </row>
    <row r="4">
      <c r="A4" s="4" t="inlineStr">
        <is>
          <t>Mes</t>
        </is>
      </c>
      <c r="C4" s="44" t="n">
        <v>1</v>
      </c>
      <c r="D4" s="44" t="n">
        <v>2</v>
      </c>
      <c r="E4" s="44" t="n">
        <v>3</v>
      </c>
      <c r="F4" s="44" t="n">
        <v>4</v>
      </c>
      <c r="G4" s="44" t="n">
        <v>5</v>
      </c>
      <c r="H4" s="44" t="n">
        <v>6</v>
      </c>
      <c r="I4" s="44" t="n">
        <v>7</v>
      </c>
      <c r="J4" s="44" t="n">
        <v>8</v>
      </c>
      <c r="K4" s="44" t="n">
        <v>9</v>
      </c>
      <c r="L4" s="44" t="n">
        <v>10</v>
      </c>
      <c r="M4" s="44" t="n">
        <v>11</v>
      </c>
      <c r="N4" s="44" t="n">
        <v>12</v>
      </c>
      <c r="O4" s="44" t="n">
        <v>13</v>
      </c>
      <c r="P4" s="44" t="n">
        <v>14</v>
      </c>
      <c r="Q4" s="44" t="n">
        <v>15</v>
      </c>
      <c r="R4" s="44" t="n">
        <v>16</v>
      </c>
      <c r="S4" s="44" t="n">
        <v>17</v>
      </c>
      <c r="T4" s="44" t="n">
        <v>18</v>
      </c>
      <c r="U4" s="44" t="n">
        <v>19</v>
      </c>
      <c r="V4" s="44" t="n">
        <v>20</v>
      </c>
      <c r="W4" s="44" t="n">
        <v>21</v>
      </c>
      <c r="X4" s="44" t="n">
        <v>22</v>
      </c>
      <c r="Y4" s="44" t="n">
        <v>23</v>
      </c>
      <c r="Z4" s="44" t="n">
        <v>24</v>
      </c>
      <c r="AA4" s="44" t="n">
        <v>25</v>
      </c>
      <c r="AB4" s="44" t="n">
        <v>26</v>
      </c>
      <c r="AC4" s="44" t="n">
        <v>27</v>
      </c>
      <c r="AD4" s="44" t="n">
        <v>28</v>
      </c>
      <c r="AE4" s="44" t="n">
        <v>29</v>
      </c>
      <c r="AF4" s="44" t="n">
        <v>30</v>
      </c>
      <c r="AG4" s="44" t="n">
        <v>31</v>
      </c>
      <c r="AH4" s="44" t="n">
        <v>32</v>
      </c>
      <c r="AI4" s="44" t="n">
        <v>33</v>
      </c>
      <c r="AJ4" s="44" t="n">
        <v>34</v>
      </c>
      <c r="AK4" s="44" t="n">
        <v>35</v>
      </c>
      <c r="AL4" s="44" t="n">
        <v>36</v>
      </c>
    </row>
    <row r="5">
      <c r="A5" s="4" t="inlineStr">
        <is>
          <t>Año</t>
        </is>
      </c>
      <c r="C5" s="45">
        <f>ROUNDUP(C4/12,0)</f>
        <v/>
      </c>
      <c r="D5" s="45">
        <f>ROUNDUP(D4/12,0)</f>
        <v/>
      </c>
      <c r="E5" s="45">
        <f>ROUNDUP(E4/12,0)</f>
        <v/>
      </c>
      <c r="F5" s="45">
        <f>ROUNDUP(F4/12,0)</f>
        <v/>
      </c>
      <c r="G5" s="45">
        <f>ROUNDUP(G4/12,0)</f>
        <v/>
      </c>
      <c r="H5" s="45">
        <f>ROUNDUP(H4/12,0)</f>
        <v/>
      </c>
      <c r="I5" s="45">
        <f>ROUNDUP(I4/12,0)</f>
        <v/>
      </c>
      <c r="J5" s="45">
        <f>ROUNDUP(J4/12,0)</f>
        <v/>
      </c>
      <c r="K5" s="45">
        <f>ROUNDUP(K4/12,0)</f>
        <v/>
      </c>
      <c r="L5" s="45">
        <f>ROUNDUP(L4/12,0)</f>
        <v/>
      </c>
      <c r="M5" s="45">
        <f>ROUNDUP(M4/12,0)</f>
        <v/>
      </c>
      <c r="N5" s="45">
        <f>ROUNDUP(N4/12,0)</f>
        <v/>
      </c>
      <c r="O5" s="45">
        <f>ROUNDUP(O4/12,0)</f>
        <v/>
      </c>
      <c r="P5" s="45">
        <f>ROUNDUP(P4/12,0)</f>
        <v/>
      </c>
      <c r="Q5" s="45">
        <f>ROUNDUP(Q4/12,0)</f>
        <v/>
      </c>
      <c r="R5" s="45">
        <f>ROUNDUP(R4/12,0)</f>
        <v/>
      </c>
      <c r="S5" s="45">
        <f>ROUNDUP(S4/12,0)</f>
        <v/>
      </c>
      <c r="T5" s="45">
        <f>ROUNDUP(T4/12,0)</f>
        <v/>
      </c>
      <c r="U5" s="45">
        <f>ROUNDUP(U4/12,0)</f>
        <v/>
      </c>
      <c r="V5" s="45">
        <f>ROUNDUP(V4/12,0)</f>
        <v/>
      </c>
      <c r="W5" s="45">
        <f>ROUNDUP(W4/12,0)</f>
        <v/>
      </c>
      <c r="X5" s="45">
        <f>ROUNDUP(X4/12,0)</f>
        <v/>
      </c>
      <c r="Y5" s="45">
        <f>ROUNDUP(Y4/12,0)</f>
        <v/>
      </c>
      <c r="Z5" s="45">
        <f>ROUNDUP(Z4/12,0)</f>
        <v/>
      </c>
      <c r="AA5" s="45">
        <f>ROUNDUP(AA4/12,0)</f>
        <v/>
      </c>
      <c r="AB5" s="45">
        <f>ROUNDUP(AB4/12,0)</f>
        <v/>
      </c>
      <c r="AC5" s="45">
        <f>ROUNDUP(AC4/12,0)</f>
        <v/>
      </c>
      <c r="AD5" s="45">
        <f>ROUNDUP(AD4/12,0)</f>
        <v/>
      </c>
      <c r="AE5" s="45">
        <f>ROUNDUP(AE4/12,0)</f>
        <v/>
      </c>
      <c r="AF5" s="45">
        <f>ROUNDUP(AF4/12,0)</f>
        <v/>
      </c>
      <c r="AG5" s="45">
        <f>ROUNDUP(AG4/12,0)</f>
        <v/>
      </c>
      <c r="AH5" s="45">
        <f>ROUNDUP(AH4/12,0)</f>
        <v/>
      </c>
      <c r="AI5" s="45">
        <f>ROUNDUP(AI4/12,0)</f>
        <v/>
      </c>
      <c r="AJ5" s="45">
        <f>ROUNDUP(AJ4/12,0)</f>
        <v/>
      </c>
      <c r="AK5" s="45">
        <f>ROUNDUP(AK4/12,0)</f>
        <v/>
      </c>
      <c r="AL5" s="45">
        <f>ROUNDUP(AL4/12,0)</f>
        <v/>
      </c>
    </row>
    <row r="7">
      <c r="A7" s="46" t="inlineStr">
        <is>
          <t>Escenario Conservador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>
      <c r="A8" s="9" t="inlineStr">
        <is>
          <t>Clientes nuevos</t>
        </is>
      </c>
      <c r="C8" s="47">
        <f>Supuestos!$C$6</f>
        <v/>
      </c>
      <c r="D8" s="21">
        <f>C8*(1+Supuestos!$C$7)</f>
        <v/>
      </c>
      <c r="E8" s="21">
        <f>D8*(1+Supuestos!$C$7)</f>
        <v/>
      </c>
      <c r="F8" s="21">
        <f>E8*(1+Supuestos!$C$7)</f>
        <v/>
      </c>
      <c r="G8" s="21">
        <f>F8*(1+Supuestos!$C$7)</f>
        <v/>
      </c>
      <c r="H8" s="21">
        <f>G8*(1+Supuestos!$C$7)</f>
        <v/>
      </c>
      <c r="I8" s="21">
        <f>H8*(1+Supuestos!$C$7)</f>
        <v/>
      </c>
      <c r="J8" s="21">
        <f>I8*(1+Supuestos!$C$7)</f>
        <v/>
      </c>
      <c r="K8" s="21">
        <f>J8*(1+Supuestos!$C$7)</f>
        <v/>
      </c>
      <c r="L8" s="21">
        <f>K8*(1+Supuestos!$C$7)</f>
        <v/>
      </c>
      <c r="M8" s="21">
        <f>L8*(1+Supuestos!$C$7)</f>
        <v/>
      </c>
      <c r="N8" s="21">
        <f>M8*(1+Supuestos!$C$7)</f>
        <v/>
      </c>
      <c r="O8" s="21">
        <f>N8*(1+Supuestos!$C$7)</f>
        <v/>
      </c>
      <c r="P8" s="21">
        <f>O8*(1+Supuestos!$C$7)</f>
        <v/>
      </c>
      <c r="Q8" s="21">
        <f>P8*(1+Supuestos!$C$7)</f>
        <v/>
      </c>
      <c r="R8" s="21">
        <f>Q8*(1+Supuestos!$C$7)</f>
        <v/>
      </c>
      <c r="S8" s="21">
        <f>R8*(1+Supuestos!$C$7)</f>
        <v/>
      </c>
      <c r="T8" s="21">
        <f>S8*(1+Supuestos!$C$7)</f>
        <v/>
      </c>
      <c r="U8" s="21">
        <f>T8*(1+Supuestos!$C$7)</f>
        <v/>
      </c>
      <c r="V8" s="21">
        <f>U8*(1+Supuestos!$C$7)</f>
        <v/>
      </c>
      <c r="W8" s="21">
        <f>V8*(1+Supuestos!$C$7)</f>
        <v/>
      </c>
      <c r="X8" s="21">
        <f>W8*(1+Supuestos!$C$7)</f>
        <v/>
      </c>
      <c r="Y8" s="21">
        <f>X8*(1+Supuestos!$C$7)</f>
        <v/>
      </c>
      <c r="Z8" s="21">
        <f>Y8*(1+Supuestos!$C$7)</f>
        <v/>
      </c>
      <c r="AA8" s="21">
        <f>Z8*(1+Supuestos!$C$7)</f>
        <v/>
      </c>
      <c r="AB8" s="21">
        <f>AA8*(1+Supuestos!$C$7)</f>
        <v/>
      </c>
      <c r="AC8" s="21">
        <f>AB8*(1+Supuestos!$C$7)</f>
        <v/>
      </c>
      <c r="AD8" s="21">
        <f>AC8*(1+Supuestos!$C$7)</f>
        <v/>
      </c>
      <c r="AE8" s="21">
        <f>AD8*(1+Supuestos!$C$7)</f>
        <v/>
      </c>
      <c r="AF8" s="21">
        <f>AE8*(1+Supuestos!$C$7)</f>
        <v/>
      </c>
      <c r="AG8" s="21">
        <f>AF8*(1+Supuestos!$C$7)</f>
        <v/>
      </c>
      <c r="AH8" s="21">
        <f>AG8*(1+Supuestos!$C$7)</f>
        <v/>
      </c>
      <c r="AI8" s="21">
        <f>AH8*(1+Supuestos!$C$7)</f>
        <v/>
      </c>
      <c r="AJ8" s="21">
        <f>AI8*(1+Supuestos!$C$7)</f>
        <v/>
      </c>
      <c r="AK8" s="21">
        <f>AJ8*(1+Supuestos!$C$7)</f>
        <v/>
      </c>
      <c r="AL8" s="21">
        <f>AK8*(1+Supuestos!$C$7)</f>
        <v/>
      </c>
    </row>
    <row r="9">
      <c r="A9" s="9" t="inlineStr">
        <is>
          <t>Clientes que se van</t>
        </is>
      </c>
      <c r="C9" s="21">
        <f>0</f>
        <v/>
      </c>
      <c r="D9" s="21">
        <f>C10*Supuestos!$C$8</f>
        <v/>
      </c>
      <c r="E9" s="21">
        <f>D10*Supuestos!$C$8</f>
        <v/>
      </c>
      <c r="F9" s="21">
        <f>E10*Supuestos!$C$8</f>
        <v/>
      </c>
      <c r="G9" s="21">
        <f>F10*Supuestos!$C$8</f>
        <v/>
      </c>
      <c r="H9" s="21">
        <f>G10*Supuestos!$C$8</f>
        <v/>
      </c>
      <c r="I9" s="21">
        <f>H10*Supuestos!$C$8</f>
        <v/>
      </c>
      <c r="J9" s="21">
        <f>I10*Supuestos!$C$8</f>
        <v/>
      </c>
      <c r="K9" s="21">
        <f>J10*Supuestos!$C$8</f>
        <v/>
      </c>
      <c r="L9" s="21">
        <f>K10*Supuestos!$C$8</f>
        <v/>
      </c>
      <c r="M9" s="21">
        <f>L10*Supuestos!$C$8</f>
        <v/>
      </c>
      <c r="N9" s="21">
        <f>M10*Supuestos!$C$8</f>
        <v/>
      </c>
      <c r="O9" s="21">
        <f>N10*Supuestos!$C$8</f>
        <v/>
      </c>
      <c r="P9" s="21">
        <f>O10*Supuestos!$C$8</f>
        <v/>
      </c>
      <c r="Q9" s="21">
        <f>P10*Supuestos!$C$8</f>
        <v/>
      </c>
      <c r="R9" s="21">
        <f>Q10*Supuestos!$C$8</f>
        <v/>
      </c>
      <c r="S9" s="21">
        <f>R10*Supuestos!$C$8</f>
        <v/>
      </c>
      <c r="T9" s="21">
        <f>S10*Supuestos!$C$8</f>
        <v/>
      </c>
      <c r="U9" s="21">
        <f>T10*Supuestos!$C$8</f>
        <v/>
      </c>
      <c r="V9" s="21">
        <f>U10*Supuestos!$C$8</f>
        <v/>
      </c>
      <c r="W9" s="21">
        <f>V10*Supuestos!$C$8</f>
        <v/>
      </c>
      <c r="X9" s="21">
        <f>W10*Supuestos!$C$8</f>
        <v/>
      </c>
      <c r="Y9" s="21">
        <f>X10*Supuestos!$C$8</f>
        <v/>
      </c>
      <c r="Z9" s="21">
        <f>Y10*Supuestos!$C$8</f>
        <v/>
      </c>
      <c r="AA9" s="21">
        <f>Z10*Supuestos!$C$8</f>
        <v/>
      </c>
      <c r="AB9" s="21">
        <f>AA10*Supuestos!$C$8</f>
        <v/>
      </c>
      <c r="AC9" s="21">
        <f>AB10*Supuestos!$C$8</f>
        <v/>
      </c>
      <c r="AD9" s="21">
        <f>AC10*Supuestos!$C$8</f>
        <v/>
      </c>
      <c r="AE9" s="21">
        <f>AD10*Supuestos!$C$8</f>
        <v/>
      </c>
      <c r="AF9" s="21">
        <f>AE10*Supuestos!$C$8</f>
        <v/>
      </c>
      <c r="AG9" s="21">
        <f>AF10*Supuestos!$C$8</f>
        <v/>
      </c>
      <c r="AH9" s="21">
        <f>AG10*Supuestos!$C$8</f>
        <v/>
      </c>
      <c r="AI9" s="21">
        <f>AH10*Supuestos!$C$8</f>
        <v/>
      </c>
      <c r="AJ9" s="21">
        <f>AI10*Supuestos!$C$8</f>
        <v/>
      </c>
      <c r="AK9" s="21">
        <f>AJ10*Supuestos!$C$8</f>
        <v/>
      </c>
      <c r="AL9" s="21">
        <f>AK10*Supuestos!$C$8</f>
        <v/>
      </c>
    </row>
    <row r="10">
      <c r="A10" s="9" t="inlineStr">
        <is>
          <t>Clientes activos</t>
        </is>
      </c>
      <c r="C10" s="21">
        <f>C8</f>
        <v/>
      </c>
      <c r="D10" s="21">
        <f>C10+D8-D9</f>
        <v/>
      </c>
      <c r="E10" s="21">
        <f>D10+E8-E9</f>
        <v/>
      </c>
      <c r="F10" s="21">
        <f>E10+F8-F9</f>
        <v/>
      </c>
      <c r="G10" s="21">
        <f>F10+G8-G9</f>
        <v/>
      </c>
      <c r="H10" s="21">
        <f>G10+H8-H9</f>
        <v/>
      </c>
      <c r="I10" s="21">
        <f>H10+I8-I9</f>
        <v/>
      </c>
      <c r="J10" s="21">
        <f>I10+J8-J9</f>
        <v/>
      </c>
      <c r="K10" s="21">
        <f>J10+K8-K9</f>
        <v/>
      </c>
      <c r="L10" s="21">
        <f>K10+L8-L9</f>
        <v/>
      </c>
      <c r="M10" s="21">
        <f>L10+M8-M9</f>
        <v/>
      </c>
      <c r="N10" s="21">
        <f>M10+N8-N9</f>
        <v/>
      </c>
      <c r="O10" s="21">
        <f>N10+O8-O9</f>
        <v/>
      </c>
      <c r="P10" s="21">
        <f>O10+P8-P9</f>
        <v/>
      </c>
      <c r="Q10" s="21">
        <f>P10+Q8-Q9</f>
        <v/>
      </c>
      <c r="R10" s="21">
        <f>Q10+R8-R9</f>
        <v/>
      </c>
      <c r="S10" s="21">
        <f>R10+S8-S9</f>
        <v/>
      </c>
      <c r="T10" s="21">
        <f>S10+T8-T9</f>
        <v/>
      </c>
      <c r="U10" s="21">
        <f>T10+U8-U9</f>
        <v/>
      </c>
      <c r="V10" s="21">
        <f>U10+V8-V9</f>
        <v/>
      </c>
      <c r="W10" s="21">
        <f>V10+W8-W9</f>
        <v/>
      </c>
      <c r="X10" s="21">
        <f>W10+X8-X9</f>
        <v/>
      </c>
      <c r="Y10" s="21">
        <f>X10+Y8-Y9</f>
        <v/>
      </c>
      <c r="Z10" s="21">
        <f>Y10+Z8-Z9</f>
        <v/>
      </c>
      <c r="AA10" s="21">
        <f>Z10+AA8-AA9</f>
        <v/>
      </c>
      <c r="AB10" s="21">
        <f>AA10+AB8-AB9</f>
        <v/>
      </c>
      <c r="AC10" s="21">
        <f>AB10+AC8-AC9</f>
        <v/>
      </c>
      <c r="AD10" s="21">
        <f>AC10+AD8-AD9</f>
        <v/>
      </c>
      <c r="AE10" s="21">
        <f>AD10+AE8-AE9</f>
        <v/>
      </c>
      <c r="AF10" s="21">
        <f>AE10+AF8-AF9</f>
        <v/>
      </c>
      <c r="AG10" s="21">
        <f>AF10+AG8-AG9</f>
        <v/>
      </c>
      <c r="AH10" s="21">
        <f>AG10+AH8-AH9</f>
        <v/>
      </c>
      <c r="AI10" s="21">
        <f>AH10+AI8-AI9</f>
        <v/>
      </c>
      <c r="AJ10" s="21">
        <f>AI10+AJ8-AJ9</f>
        <v/>
      </c>
      <c r="AK10" s="21">
        <f>AJ10+AK8-AK9</f>
        <v/>
      </c>
      <c r="AL10" s="21">
        <f>AK10+AL8-AL9</f>
        <v/>
      </c>
    </row>
    <row r="11">
      <c r="A11" s="9" t="inlineStr">
        <is>
          <t>Ingreso promedio por cliente (ARPU)</t>
        </is>
      </c>
      <c r="C11" s="23">
        <f>Supuestos!$C$9</f>
        <v/>
      </c>
      <c r="D11" s="25">
        <f>Supuestos!$C$9</f>
        <v/>
      </c>
      <c r="E11" s="25">
        <f>Supuestos!$C$9</f>
        <v/>
      </c>
      <c r="F11" s="25">
        <f>Supuestos!$C$9</f>
        <v/>
      </c>
      <c r="G11" s="25">
        <f>Supuestos!$C$9</f>
        <v/>
      </c>
      <c r="H11" s="25">
        <f>Supuestos!$C$9</f>
        <v/>
      </c>
      <c r="I11" s="25">
        <f>Supuestos!$C$9</f>
        <v/>
      </c>
      <c r="J11" s="25">
        <f>Supuestos!$C$9</f>
        <v/>
      </c>
      <c r="K11" s="25">
        <f>Supuestos!$C$9</f>
        <v/>
      </c>
      <c r="L11" s="25">
        <f>Supuestos!$C$9</f>
        <v/>
      </c>
      <c r="M11" s="25">
        <f>Supuestos!$C$9</f>
        <v/>
      </c>
      <c r="N11" s="25">
        <f>Supuestos!$C$9</f>
        <v/>
      </c>
      <c r="O11" s="25">
        <f>Supuestos!$C$9</f>
        <v/>
      </c>
      <c r="P11" s="25">
        <f>Supuestos!$C$9</f>
        <v/>
      </c>
      <c r="Q11" s="25">
        <f>Supuestos!$C$9</f>
        <v/>
      </c>
      <c r="R11" s="25">
        <f>Supuestos!$C$9</f>
        <v/>
      </c>
      <c r="S11" s="25">
        <f>Supuestos!$C$9</f>
        <v/>
      </c>
      <c r="T11" s="25">
        <f>Supuestos!$C$9</f>
        <v/>
      </c>
      <c r="U11" s="25">
        <f>Supuestos!$C$9</f>
        <v/>
      </c>
      <c r="V11" s="25">
        <f>Supuestos!$C$9</f>
        <v/>
      </c>
      <c r="W11" s="25">
        <f>Supuestos!$C$9</f>
        <v/>
      </c>
      <c r="X11" s="25">
        <f>Supuestos!$C$9</f>
        <v/>
      </c>
      <c r="Y11" s="25">
        <f>Supuestos!$C$9</f>
        <v/>
      </c>
      <c r="Z11" s="25">
        <f>Supuestos!$C$9</f>
        <v/>
      </c>
      <c r="AA11" s="25">
        <f>Supuestos!$C$9</f>
        <v/>
      </c>
      <c r="AB11" s="25">
        <f>Supuestos!$C$9</f>
        <v/>
      </c>
      <c r="AC11" s="25">
        <f>Supuestos!$C$9</f>
        <v/>
      </c>
      <c r="AD11" s="25">
        <f>Supuestos!$C$9</f>
        <v/>
      </c>
      <c r="AE11" s="25">
        <f>Supuestos!$C$9</f>
        <v/>
      </c>
      <c r="AF11" s="25">
        <f>Supuestos!$C$9</f>
        <v/>
      </c>
      <c r="AG11" s="25">
        <f>Supuestos!$C$9</f>
        <v/>
      </c>
      <c r="AH11" s="25">
        <f>Supuestos!$C$9</f>
        <v/>
      </c>
      <c r="AI11" s="25">
        <f>Supuestos!$C$9</f>
        <v/>
      </c>
      <c r="AJ11" s="25">
        <f>Supuestos!$C$9</f>
        <v/>
      </c>
      <c r="AK11" s="25">
        <f>Supuestos!$C$9</f>
        <v/>
      </c>
      <c r="AL11" s="25">
        <f>Supuestos!$C$9</f>
        <v/>
      </c>
    </row>
    <row r="12">
      <c r="A12" s="4" t="inlineStr">
        <is>
          <t>Ingresos del mes</t>
        </is>
      </c>
      <c r="C12" s="25">
        <f>C10*C11</f>
        <v/>
      </c>
      <c r="D12" s="25">
        <f>D10*D11</f>
        <v/>
      </c>
      <c r="E12" s="25">
        <f>E10*E11</f>
        <v/>
      </c>
      <c r="F12" s="25">
        <f>F10*F11</f>
        <v/>
      </c>
      <c r="G12" s="25">
        <f>G10*G11</f>
        <v/>
      </c>
      <c r="H12" s="25">
        <f>H10*H11</f>
        <v/>
      </c>
      <c r="I12" s="25">
        <f>I10*I11</f>
        <v/>
      </c>
      <c r="J12" s="25">
        <f>J10*J11</f>
        <v/>
      </c>
      <c r="K12" s="25">
        <f>K10*K11</f>
        <v/>
      </c>
      <c r="L12" s="25">
        <f>L10*L11</f>
        <v/>
      </c>
      <c r="M12" s="25">
        <f>M10*M11</f>
        <v/>
      </c>
      <c r="N12" s="25">
        <f>N10*N11</f>
        <v/>
      </c>
      <c r="O12" s="25">
        <f>O10*O11</f>
        <v/>
      </c>
      <c r="P12" s="25">
        <f>P10*P11</f>
        <v/>
      </c>
      <c r="Q12" s="25">
        <f>Q10*Q11</f>
        <v/>
      </c>
      <c r="R12" s="25">
        <f>R10*R11</f>
        <v/>
      </c>
      <c r="S12" s="25">
        <f>S10*S11</f>
        <v/>
      </c>
      <c r="T12" s="25">
        <f>T10*T11</f>
        <v/>
      </c>
      <c r="U12" s="25">
        <f>U10*U11</f>
        <v/>
      </c>
      <c r="V12" s="25">
        <f>V10*V11</f>
        <v/>
      </c>
      <c r="W12" s="25">
        <f>W10*W11</f>
        <v/>
      </c>
      <c r="X12" s="25">
        <f>X10*X11</f>
        <v/>
      </c>
      <c r="Y12" s="25">
        <f>Y10*Y11</f>
        <v/>
      </c>
      <c r="Z12" s="25">
        <f>Z10*Z11</f>
        <v/>
      </c>
      <c r="AA12" s="25">
        <f>AA10*AA11</f>
        <v/>
      </c>
      <c r="AB12" s="25">
        <f>AB10*AB11</f>
        <v/>
      </c>
      <c r="AC12" s="25">
        <f>AC10*AC11</f>
        <v/>
      </c>
      <c r="AD12" s="25">
        <f>AD10*AD11</f>
        <v/>
      </c>
      <c r="AE12" s="25">
        <f>AE10*AE11</f>
        <v/>
      </c>
      <c r="AF12" s="25">
        <f>AF10*AF11</f>
        <v/>
      </c>
      <c r="AG12" s="25">
        <f>AG10*AG11</f>
        <v/>
      </c>
      <c r="AH12" s="25">
        <f>AH10*AH11</f>
        <v/>
      </c>
      <c r="AI12" s="25">
        <f>AI10*AI11</f>
        <v/>
      </c>
      <c r="AJ12" s="25">
        <f>AJ10*AJ11</f>
        <v/>
      </c>
      <c r="AK12" s="25">
        <f>AK10*AK11</f>
        <v/>
      </c>
      <c r="AL12" s="25">
        <f>AL10*AL11</f>
        <v/>
      </c>
    </row>
    <row r="13">
      <c r="A13" s="9" t="inlineStr">
        <is>
          <t>Costos variables</t>
        </is>
      </c>
      <c r="C13" s="25">
        <f>C10*Supuestos!$C$10+C12*Supuestos!$C$11</f>
        <v/>
      </c>
      <c r="D13" s="25">
        <f>D10*Supuestos!$C$10+D12*Supuestos!$C$11</f>
        <v/>
      </c>
      <c r="E13" s="25">
        <f>E10*Supuestos!$C$10+E12*Supuestos!$C$11</f>
        <v/>
      </c>
      <c r="F13" s="25">
        <f>F10*Supuestos!$C$10+F12*Supuestos!$C$11</f>
        <v/>
      </c>
      <c r="G13" s="25">
        <f>G10*Supuestos!$C$10+G12*Supuestos!$C$11</f>
        <v/>
      </c>
      <c r="H13" s="25">
        <f>H10*Supuestos!$C$10+H12*Supuestos!$C$11</f>
        <v/>
      </c>
      <c r="I13" s="25">
        <f>I10*Supuestos!$C$10+I12*Supuestos!$C$11</f>
        <v/>
      </c>
      <c r="J13" s="25">
        <f>J10*Supuestos!$C$10+J12*Supuestos!$C$11</f>
        <v/>
      </c>
      <c r="K13" s="25">
        <f>K10*Supuestos!$C$10+K12*Supuestos!$C$11</f>
        <v/>
      </c>
      <c r="L13" s="25">
        <f>L10*Supuestos!$C$10+L12*Supuestos!$C$11</f>
        <v/>
      </c>
      <c r="M13" s="25">
        <f>M10*Supuestos!$C$10+M12*Supuestos!$C$11</f>
        <v/>
      </c>
      <c r="N13" s="25">
        <f>N10*Supuestos!$C$10+N12*Supuestos!$C$11</f>
        <v/>
      </c>
      <c r="O13" s="25">
        <f>O10*Supuestos!$C$10+O12*Supuestos!$C$11</f>
        <v/>
      </c>
      <c r="P13" s="25">
        <f>P10*Supuestos!$C$10+P12*Supuestos!$C$11</f>
        <v/>
      </c>
      <c r="Q13" s="25">
        <f>Q10*Supuestos!$C$10+Q12*Supuestos!$C$11</f>
        <v/>
      </c>
      <c r="R13" s="25">
        <f>R10*Supuestos!$C$10+R12*Supuestos!$C$11</f>
        <v/>
      </c>
      <c r="S13" s="25">
        <f>S10*Supuestos!$C$10+S12*Supuestos!$C$11</f>
        <v/>
      </c>
      <c r="T13" s="25">
        <f>T10*Supuestos!$C$10+T12*Supuestos!$C$11</f>
        <v/>
      </c>
      <c r="U13" s="25">
        <f>U10*Supuestos!$C$10+U12*Supuestos!$C$11</f>
        <v/>
      </c>
      <c r="V13" s="25">
        <f>V10*Supuestos!$C$10+V12*Supuestos!$C$11</f>
        <v/>
      </c>
      <c r="W13" s="25">
        <f>W10*Supuestos!$C$10+W12*Supuestos!$C$11</f>
        <v/>
      </c>
      <c r="X13" s="25">
        <f>X10*Supuestos!$C$10+X12*Supuestos!$C$11</f>
        <v/>
      </c>
      <c r="Y13" s="25">
        <f>Y10*Supuestos!$C$10+Y12*Supuestos!$C$11</f>
        <v/>
      </c>
      <c r="Z13" s="25">
        <f>Z10*Supuestos!$C$10+Z12*Supuestos!$C$11</f>
        <v/>
      </c>
      <c r="AA13" s="25">
        <f>AA10*Supuestos!$C$10+AA12*Supuestos!$C$11</f>
        <v/>
      </c>
      <c r="AB13" s="25">
        <f>AB10*Supuestos!$C$10+AB12*Supuestos!$C$11</f>
        <v/>
      </c>
      <c r="AC13" s="25">
        <f>AC10*Supuestos!$C$10+AC12*Supuestos!$C$11</f>
        <v/>
      </c>
      <c r="AD13" s="25">
        <f>AD10*Supuestos!$C$10+AD12*Supuestos!$C$11</f>
        <v/>
      </c>
      <c r="AE13" s="25">
        <f>AE10*Supuestos!$C$10+AE12*Supuestos!$C$11</f>
        <v/>
      </c>
      <c r="AF13" s="25">
        <f>AF10*Supuestos!$C$10+AF12*Supuestos!$C$11</f>
        <v/>
      </c>
      <c r="AG13" s="25">
        <f>AG10*Supuestos!$C$10+AG12*Supuestos!$C$11</f>
        <v/>
      </c>
      <c r="AH13" s="25">
        <f>AH10*Supuestos!$C$10+AH12*Supuestos!$C$11</f>
        <v/>
      </c>
      <c r="AI13" s="25">
        <f>AI10*Supuestos!$C$10+AI12*Supuestos!$C$11</f>
        <v/>
      </c>
      <c r="AJ13" s="25">
        <f>AJ10*Supuestos!$C$10+AJ12*Supuestos!$C$11</f>
        <v/>
      </c>
      <c r="AK13" s="25">
        <f>AK10*Supuestos!$C$10+AK12*Supuestos!$C$11</f>
        <v/>
      </c>
      <c r="AL13" s="25">
        <f>AL10*Supuestos!$C$10+AL12*Supuestos!$C$11</f>
        <v/>
      </c>
    </row>
    <row r="14">
      <c r="A14" s="9" t="inlineStr">
        <is>
          <t>Costo de conseguir clientes</t>
        </is>
      </c>
      <c r="C14" s="25">
        <f>C8*Supuestos!$C$12</f>
        <v/>
      </c>
      <c r="D14" s="25">
        <f>D8*Supuestos!$C$12</f>
        <v/>
      </c>
      <c r="E14" s="25">
        <f>E8*Supuestos!$C$12</f>
        <v/>
      </c>
      <c r="F14" s="25">
        <f>F8*Supuestos!$C$12</f>
        <v/>
      </c>
      <c r="G14" s="25">
        <f>G8*Supuestos!$C$12</f>
        <v/>
      </c>
      <c r="H14" s="25">
        <f>H8*Supuestos!$C$12</f>
        <v/>
      </c>
      <c r="I14" s="25">
        <f>I8*Supuestos!$C$12</f>
        <v/>
      </c>
      <c r="J14" s="25">
        <f>J8*Supuestos!$C$12</f>
        <v/>
      </c>
      <c r="K14" s="25">
        <f>K8*Supuestos!$C$12</f>
        <v/>
      </c>
      <c r="L14" s="25">
        <f>L8*Supuestos!$C$12</f>
        <v/>
      </c>
      <c r="M14" s="25">
        <f>M8*Supuestos!$C$12</f>
        <v/>
      </c>
      <c r="N14" s="25">
        <f>N8*Supuestos!$C$12</f>
        <v/>
      </c>
      <c r="O14" s="25">
        <f>O8*Supuestos!$C$12</f>
        <v/>
      </c>
      <c r="P14" s="25">
        <f>P8*Supuestos!$C$12</f>
        <v/>
      </c>
      <c r="Q14" s="25">
        <f>Q8*Supuestos!$C$12</f>
        <v/>
      </c>
      <c r="R14" s="25">
        <f>R8*Supuestos!$C$12</f>
        <v/>
      </c>
      <c r="S14" s="25">
        <f>S8*Supuestos!$C$12</f>
        <v/>
      </c>
      <c r="T14" s="25">
        <f>T8*Supuestos!$C$12</f>
        <v/>
      </c>
      <c r="U14" s="25">
        <f>U8*Supuestos!$C$12</f>
        <v/>
      </c>
      <c r="V14" s="25">
        <f>V8*Supuestos!$C$12</f>
        <v/>
      </c>
      <c r="W14" s="25">
        <f>W8*Supuestos!$C$12</f>
        <v/>
      </c>
      <c r="X14" s="25">
        <f>X8*Supuestos!$C$12</f>
        <v/>
      </c>
      <c r="Y14" s="25">
        <f>Y8*Supuestos!$C$12</f>
        <v/>
      </c>
      <c r="Z14" s="25">
        <f>Z8*Supuestos!$C$12</f>
        <v/>
      </c>
      <c r="AA14" s="25">
        <f>AA8*Supuestos!$C$12</f>
        <v/>
      </c>
      <c r="AB14" s="25">
        <f>AB8*Supuestos!$C$12</f>
        <v/>
      </c>
      <c r="AC14" s="25">
        <f>AC8*Supuestos!$C$12</f>
        <v/>
      </c>
      <c r="AD14" s="25">
        <f>AD8*Supuestos!$C$12</f>
        <v/>
      </c>
      <c r="AE14" s="25">
        <f>AE8*Supuestos!$C$12</f>
        <v/>
      </c>
      <c r="AF14" s="25">
        <f>AF8*Supuestos!$C$12</f>
        <v/>
      </c>
      <c r="AG14" s="25">
        <f>AG8*Supuestos!$C$12</f>
        <v/>
      </c>
      <c r="AH14" s="25">
        <f>AH8*Supuestos!$C$12</f>
        <v/>
      </c>
      <c r="AI14" s="25">
        <f>AI8*Supuestos!$C$12</f>
        <v/>
      </c>
      <c r="AJ14" s="25">
        <f>AJ8*Supuestos!$C$12</f>
        <v/>
      </c>
      <c r="AK14" s="25">
        <f>AK8*Supuestos!$C$12</f>
        <v/>
      </c>
      <c r="AL14" s="25">
        <f>AL8*Supuestos!$C$12</f>
        <v/>
      </c>
    </row>
    <row r="15">
      <c r="A15" s="9" t="inlineStr">
        <is>
          <t>Gastos fijos (equipo y operación)</t>
        </is>
      </c>
      <c r="C15" s="25">
        <f>SUMPRODUCT((Presupuesto!$D$5:$D$16&lt;=C$4)*Presupuesto!$E$5:$E$16)</f>
        <v/>
      </c>
      <c r="D15" s="25">
        <f>SUMPRODUCT((Presupuesto!$D$5:$D$16&lt;=D$4)*Presupuesto!$E$5:$E$16)</f>
        <v/>
      </c>
      <c r="E15" s="25">
        <f>SUMPRODUCT((Presupuesto!$D$5:$D$16&lt;=E$4)*Presupuesto!$E$5:$E$16)</f>
        <v/>
      </c>
      <c r="F15" s="25">
        <f>SUMPRODUCT((Presupuesto!$D$5:$D$16&lt;=F$4)*Presupuesto!$E$5:$E$16)</f>
        <v/>
      </c>
      <c r="G15" s="25">
        <f>SUMPRODUCT((Presupuesto!$D$5:$D$16&lt;=G$4)*Presupuesto!$E$5:$E$16)</f>
        <v/>
      </c>
      <c r="H15" s="25">
        <f>SUMPRODUCT((Presupuesto!$D$5:$D$16&lt;=H$4)*Presupuesto!$E$5:$E$16)</f>
        <v/>
      </c>
      <c r="I15" s="25">
        <f>SUMPRODUCT((Presupuesto!$D$5:$D$16&lt;=I$4)*Presupuesto!$E$5:$E$16)</f>
        <v/>
      </c>
      <c r="J15" s="25">
        <f>SUMPRODUCT((Presupuesto!$D$5:$D$16&lt;=J$4)*Presupuesto!$E$5:$E$16)</f>
        <v/>
      </c>
      <c r="K15" s="25">
        <f>SUMPRODUCT((Presupuesto!$D$5:$D$16&lt;=K$4)*Presupuesto!$E$5:$E$16)</f>
        <v/>
      </c>
      <c r="L15" s="25">
        <f>SUMPRODUCT((Presupuesto!$D$5:$D$16&lt;=L$4)*Presupuesto!$E$5:$E$16)</f>
        <v/>
      </c>
      <c r="M15" s="25">
        <f>SUMPRODUCT((Presupuesto!$D$5:$D$16&lt;=M$4)*Presupuesto!$E$5:$E$16)</f>
        <v/>
      </c>
      <c r="N15" s="25">
        <f>SUMPRODUCT((Presupuesto!$D$5:$D$16&lt;=N$4)*Presupuesto!$E$5:$E$16)</f>
        <v/>
      </c>
      <c r="O15" s="25">
        <f>SUMPRODUCT((Presupuesto!$D$5:$D$16&lt;=O$4)*Presupuesto!$E$5:$E$16)</f>
        <v/>
      </c>
      <c r="P15" s="25">
        <f>SUMPRODUCT((Presupuesto!$D$5:$D$16&lt;=P$4)*Presupuesto!$E$5:$E$16)</f>
        <v/>
      </c>
      <c r="Q15" s="25">
        <f>SUMPRODUCT((Presupuesto!$D$5:$D$16&lt;=Q$4)*Presupuesto!$E$5:$E$16)</f>
        <v/>
      </c>
      <c r="R15" s="25">
        <f>SUMPRODUCT((Presupuesto!$D$5:$D$16&lt;=R$4)*Presupuesto!$E$5:$E$16)</f>
        <v/>
      </c>
      <c r="S15" s="25">
        <f>SUMPRODUCT((Presupuesto!$D$5:$D$16&lt;=S$4)*Presupuesto!$E$5:$E$16)</f>
        <v/>
      </c>
      <c r="T15" s="25">
        <f>SUMPRODUCT((Presupuesto!$D$5:$D$16&lt;=T$4)*Presupuesto!$E$5:$E$16)</f>
        <v/>
      </c>
      <c r="U15" s="25">
        <f>SUMPRODUCT((Presupuesto!$D$5:$D$16&lt;=U$4)*Presupuesto!$E$5:$E$16)</f>
        <v/>
      </c>
      <c r="V15" s="25">
        <f>SUMPRODUCT((Presupuesto!$D$5:$D$16&lt;=V$4)*Presupuesto!$E$5:$E$16)</f>
        <v/>
      </c>
      <c r="W15" s="25">
        <f>SUMPRODUCT((Presupuesto!$D$5:$D$16&lt;=W$4)*Presupuesto!$E$5:$E$16)</f>
        <v/>
      </c>
      <c r="X15" s="25">
        <f>SUMPRODUCT((Presupuesto!$D$5:$D$16&lt;=X$4)*Presupuesto!$E$5:$E$16)</f>
        <v/>
      </c>
      <c r="Y15" s="25">
        <f>SUMPRODUCT((Presupuesto!$D$5:$D$16&lt;=Y$4)*Presupuesto!$E$5:$E$16)</f>
        <v/>
      </c>
      <c r="Z15" s="25">
        <f>SUMPRODUCT((Presupuesto!$D$5:$D$16&lt;=Z$4)*Presupuesto!$E$5:$E$16)</f>
        <v/>
      </c>
      <c r="AA15" s="25">
        <f>SUMPRODUCT((Presupuesto!$D$5:$D$16&lt;=AA$4)*Presupuesto!$E$5:$E$16)</f>
        <v/>
      </c>
      <c r="AB15" s="25">
        <f>SUMPRODUCT((Presupuesto!$D$5:$D$16&lt;=AB$4)*Presupuesto!$E$5:$E$16)</f>
        <v/>
      </c>
      <c r="AC15" s="25">
        <f>SUMPRODUCT((Presupuesto!$D$5:$D$16&lt;=AC$4)*Presupuesto!$E$5:$E$16)</f>
        <v/>
      </c>
      <c r="AD15" s="25">
        <f>SUMPRODUCT((Presupuesto!$D$5:$D$16&lt;=AD$4)*Presupuesto!$E$5:$E$16)</f>
        <v/>
      </c>
      <c r="AE15" s="25">
        <f>SUMPRODUCT((Presupuesto!$D$5:$D$16&lt;=AE$4)*Presupuesto!$E$5:$E$16)</f>
        <v/>
      </c>
      <c r="AF15" s="25">
        <f>SUMPRODUCT((Presupuesto!$D$5:$D$16&lt;=AF$4)*Presupuesto!$E$5:$E$16)</f>
        <v/>
      </c>
      <c r="AG15" s="25">
        <f>SUMPRODUCT((Presupuesto!$D$5:$D$16&lt;=AG$4)*Presupuesto!$E$5:$E$16)</f>
        <v/>
      </c>
      <c r="AH15" s="25">
        <f>SUMPRODUCT((Presupuesto!$D$5:$D$16&lt;=AH$4)*Presupuesto!$E$5:$E$16)</f>
        <v/>
      </c>
      <c r="AI15" s="25">
        <f>SUMPRODUCT((Presupuesto!$D$5:$D$16&lt;=AI$4)*Presupuesto!$E$5:$E$16)</f>
        <v/>
      </c>
      <c r="AJ15" s="25">
        <f>SUMPRODUCT((Presupuesto!$D$5:$D$16&lt;=AJ$4)*Presupuesto!$E$5:$E$16)</f>
        <v/>
      </c>
      <c r="AK15" s="25">
        <f>SUMPRODUCT((Presupuesto!$D$5:$D$16&lt;=AK$4)*Presupuesto!$E$5:$E$16)</f>
        <v/>
      </c>
      <c r="AL15" s="25">
        <f>SUMPRODUCT((Presupuesto!$D$5:$D$16&lt;=AL$4)*Presupuesto!$E$5:$E$16)</f>
        <v/>
      </c>
    </row>
    <row r="16">
      <c r="A16" s="4" t="inlineStr">
        <is>
          <t>Resultado operativo (EBITDA)</t>
        </is>
      </c>
      <c r="C16" s="25">
        <f>C12-C13-C14-C15</f>
        <v/>
      </c>
      <c r="D16" s="25">
        <f>D12-D13-D14-D15</f>
        <v/>
      </c>
      <c r="E16" s="25">
        <f>E12-E13-E14-E15</f>
        <v/>
      </c>
      <c r="F16" s="25">
        <f>F12-F13-F14-F15</f>
        <v/>
      </c>
      <c r="G16" s="25">
        <f>G12-G13-G14-G15</f>
        <v/>
      </c>
      <c r="H16" s="25">
        <f>H12-H13-H14-H15</f>
        <v/>
      </c>
      <c r="I16" s="25">
        <f>I12-I13-I14-I15</f>
        <v/>
      </c>
      <c r="J16" s="25">
        <f>J12-J13-J14-J15</f>
        <v/>
      </c>
      <c r="K16" s="25">
        <f>K12-K13-K14-K15</f>
        <v/>
      </c>
      <c r="L16" s="25">
        <f>L12-L13-L14-L15</f>
        <v/>
      </c>
      <c r="M16" s="25">
        <f>M12-M13-M14-M15</f>
        <v/>
      </c>
      <c r="N16" s="25">
        <f>N12-N13-N14-N15</f>
        <v/>
      </c>
      <c r="O16" s="25">
        <f>O12-O13-O14-O15</f>
        <v/>
      </c>
      <c r="P16" s="25">
        <f>P12-P13-P14-P15</f>
        <v/>
      </c>
      <c r="Q16" s="25">
        <f>Q12-Q13-Q14-Q15</f>
        <v/>
      </c>
      <c r="R16" s="25">
        <f>R12-R13-R14-R15</f>
        <v/>
      </c>
      <c r="S16" s="25">
        <f>S12-S13-S14-S15</f>
        <v/>
      </c>
      <c r="T16" s="25">
        <f>T12-T13-T14-T15</f>
        <v/>
      </c>
      <c r="U16" s="25">
        <f>U12-U13-U14-U15</f>
        <v/>
      </c>
      <c r="V16" s="25">
        <f>V12-V13-V14-V15</f>
        <v/>
      </c>
      <c r="W16" s="25">
        <f>W12-W13-W14-W15</f>
        <v/>
      </c>
      <c r="X16" s="25">
        <f>X12-X13-X14-X15</f>
        <v/>
      </c>
      <c r="Y16" s="25">
        <f>Y12-Y13-Y14-Y15</f>
        <v/>
      </c>
      <c r="Z16" s="25">
        <f>Z12-Z13-Z14-Z15</f>
        <v/>
      </c>
      <c r="AA16" s="25">
        <f>AA12-AA13-AA14-AA15</f>
        <v/>
      </c>
      <c r="AB16" s="25">
        <f>AB12-AB13-AB14-AB15</f>
        <v/>
      </c>
      <c r="AC16" s="25">
        <f>AC12-AC13-AC14-AC15</f>
        <v/>
      </c>
      <c r="AD16" s="25">
        <f>AD12-AD13-AD14-AD15</f>
        <v/>
      </c>
      <c r="AE16" s="25">
        <f>AE12-AE13-AE14-AE15</f>
        <v/>
      </c>
      <c r="AF16" s="25">
        <f>AF12-AF13-AF14-AF15</f>
        <v/>
      </c>
      <c r="AG16" s="25">
        <f>AG12-AG13-AG14-AG15</f>
        <v/>
      </c>
      <c r="AH16" s="25">
        <f>AH12-AH13-AH14-AH15</f>
        <v/>
      </c>
      <c r="AI16" s="25">
        <f>AI12-AI13-AI14-AI15</f>
        <v/>
      </c>
      <c r="AJ16" s="25">
        <f>AJ12-AJ13-AJ14-AJ15</f>
        <v/>
      </c>
      <c r="AK16" s="25">
        <f>AK12-AK13-AK14-AK15</f>
        <v/>
      </c>
      <c r="AL16" s="25">
        <f>AL12-AL13-AL14-AL15</f>
        <v/>
      </c>
    </row>
    <row r="17">
      <c r="A17" s="4" t="inlineStr">
        <is>
          <t>Caja acumulada (sin inversión)</t>
        </is>
      </c>
      <c r="C17" s="25">
        <f>C16-Presupuesto!$C$28</f>
        <v/>
      </c>
      <c r="D17" s="25">
        <f>C17+D16</f>
        <v/>
      </c>
      <c r="E17" s="25">
        <f>D17+E16</f>
        <v/>
      </c>
      <c r="F17" s="25">
        <f>E17+F16</f>
        <v/>
      </c>
      <c r="G17" s="25">
        <f>F17+G16</f>
        <v/>
      </c>
      <c r="H17" s="25">
        <f>G17+H16</f>
        <v/>
      </c>
      <c r="I17" s="25">
        <f>H17+I16</f>
        <v/>
      </c>
      <c r="J17" s="25">
        <f>I17+J16</f>
        <v/>
      </c>
      <c r="K17" s="25">
        <f>J17+K16</f>
        <v/>
      </c>
      <c r="L17" s="25">
        <f>K17+L16</f>
        <v/>
      </c>
      <c r="M17" s="25">
        <f>L17+M16</f>
        <v/>
      </c>
      <c r="N17" s="25">
        <f>M17+N16</f>
        <v/>
      </c>
      <c r="O17" s="25">
        <f>N17+O16</f>
        <v/>
      </c>
      <c r="P17" s="25">
        <f>O17+P16</f>
        <v/>
      </c>
      <c r="Q17" s="25">
        <f>P17+Q16</f>
        <v/>
      </c>
      <c r="R17" s="25">
        <f>Q17+R16</f>
        <v/>
      </c>
      <c r="S17" s="25">
        <f>R17+S16</f>
        <v/>
      </c>
      <c r="T17" s="25">
        <f>S17+T16</f>
        <v/>
      </c>
      <c r="U17" s="25">
        <f>T17+U16</f>
        <v/>
      </c>
      <c r="V17" s="25">
        <f>U17+V16</f>
        <v/>
      </c>
      <c r="W17" s="25">
        <f>V17+W16</f>
        <v/>
      </c>
      <c r="X17" s="25">
        <f>W17+X16</f>
        <v/>
      </c>
      <c r="Y17" s="25">
        <f>X17+Y16</f>
        <v/>
      </c>
      <c r="Z17" s="25">
        <f>Y17+Z16</f>
        <v/>
      </c>
      <c r="AA17" s="25">
        <f>Z17+AA16</f>
        <v/>
      </c>
      <c r="AB17" s="25">
        <f>AA17+AB16</f>
        <v/>
      </c>
      <c r="AC17" s="25">
        <f>AB17+AC16</f>
        <v/>
      </c>
      <c r="AD17" s="25">
        <f>AC17+AD16</f>
        <v/>
      </c>
      <c r="AE17" s="25">
        <f>AD17+AE16</f>
        <v/>
      </c>
      <c r="AF17" s="25">
        <f>AE17+AF16</f>
        <v/>
      </c>
      <c r="AG17" s="25">
        <f>AF17+AG16</f>
        <v/>
      </c>
      <c r="AH17" s="25">
        <f>AG17+AH16</f>
        <v/>
      </c>
      <c r="AI17" s="25">
        <f>AH17+AI16</f>
        <v/>
      </c>
      <c r="AJ17" s="25">
        <f>AI17+AJ16</f>
        <v/>
      </c>
      <c r="AK17" s="25">
        <f>AJ17+AK16</f>
        <v/>
      </c>
      <c r="AL17" s="25">
        <f>AK17+AL16</f>
        <v/>
      </c>
    </row>
    <row r="18">
      <c r="A18" s="9" t="inlineStr">
        <is>
          <t>¿Mes con resultado positivo? (1 = sí)</t>
        </is>
      </c>
      <c r="C18" s="48">
        <f>IF(C16&gt;0,1,0)</f>
        <v/>
      </c>
      <c r="D18" s="48">
        <f>IF(D16&gt;0,1,0)</f>
        <v/>
      </c>
      <c r="E18" s="48">
        <f>IF(E16&gt;0,1,0)</f>
        <v/>
      </c>
      <c r="F18" s="48">
        <f>IF(F16&gt;0,1,0)</f>
        <v/>
      </c>
      <c r="G18" s="48">
        <f>IF(G16&gt;0,1,0)</f>
        <v/>
      </c>
      <c r="H18" s="48">
        <f>IF(H16&gt;0,1,0)</f>
        <v/>
      </c>
      <c r="I18" s="48">
        <f>IF(I16&gt;0,1,0)</f>
        <v/>
      </c>
      <c r="J18" s="48">
        <f>IF(J16&gt;0,1,0)</f>
        <v/>
      </c>
      <c r="K18" s="48">
        <f>IF(K16&gt;0,1,0)</f>
        <v/>
      </c>
      <c r="L18" s="48">
        <f>IF(L16&gt;0,1,0)</f>
        <v/>
      </c>
      <c r="M18" s="48">
        <f>IF(M16&gt;0,1,0)</f>
        <v/>
      </c>
      <c r="N18" s="48">
        <f>IF(N16&gt;0,1,0)</f>
        <v/>
      </c>
      <c r="O18" s="48">
        <f>IF(O16&gt;0,1,0)</f>
        <v/>
      </c>
      <c r="P18" s="48">
        <f>IF(P16&gt;0,1,0)</f>
        <v/>
      </c>
      <c r="Q18" s="48">
        <f>IF(Q16&gt;0,1,0)</f>
        <v/>
      </c>
      <c r="R18" s="48">
        <f>IF(R16&gt;0,1,0)</f>
        <v/>
      </c>
      <c r="S18" s="48">
        <f>IF(S16&gt;0,1,0)</f>
        <v/>
      </c>
      <c r="T18" s="48">
        <f>IF(T16&gt;0,1,0)</f>
        <v/>
      </c>
      <c r="U18" s="48">
        <f>IF(U16&gt;0,1,0)</f>
        <v/>
      </c>
      <c r="V18" s="48">
        <f>IF(V16&gt;0,1,0)</f>
        <v/>
      </c>
      <c r="W18" s="48">
        <f>IF(W16&gt;0,1,0)</f>
        <v/>
      </c>
      <c r="X18" s="48">
        <f>IF(X16&gt;0,1,0)</f>
        <v/>
      </c>
      <c r="Y18" s="48">
        <f>IF(Y16&gt;0,1,0)</f>
        <v/>
      </c>
      <c r="Z18" s="48">
        <f>IF(Z16&gt;0,1,0)</f>
        <v/>
      </c>
      <c r="AA18" s="48">
        <f>IF(AA16&gt;0,1,0)</f>
        <v/>
      </c>
      <c r="AB18" s="48">
        <f>IF(AB16&gt;0,1,0)</f>
        <v/>
      </c>
      <c r="AC18" s="48">
        <f>IF(AC16&gt;0,1,0)</f>
        <v/>
      </c>
      <c r="AD18" s="48">
        <f>IF(AD16&gt;0,1,0)</f>
        <v/>
      </c>
      <c r="AE18" s="48">
        <f>IF(AE16&gt;0,1,0)</f>
        <v/>
      </c>
      <c r="AF18" s="48">
        <f>IF(AF16&gt;0,1,0)</f>
        <v/>
      </c>
      <c r="AG18" s="48">
        <f>IF(AG16&gt;0,1,0)</f>
        <v/>
      </c>
      <c r="AH18" s="48">
        <f>IF(AH16&gt;0,1,0)</f>
        <v/>
      </c>
      <c r="AI18" s="48">
        <f>IF(AI16&gt;0,1,0)</f>
        <v/>
      </c>
      <c r="AJ18" s="48">
        <f>IF(AJ16&gt;0,1,0)</f>
        <v/>
      </c>
      <c r="AK18" s="48">
        <f>IF(AK16&gt;0,1,0)</f>
        <v/>
      </c>
      <c r="AL18" s="48">
        <f>IF(AL16&gt;0,1,0)</f>
        <v/>
      </c>
    </row>
    <row r="21">
      <c r="A21" s="46" t="inlineStr">
        <is>
          <t>Escenario Base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</row>
    <row r="22">
      <c r="A22" s="9" t="inlineStr">
        <is>
          <t>Clientes nuevos</t>
        </is>
      </c>
      <c r="C22" s="47">
        <f>Supuestos!$D$6</f>
        <v/>
      </c>
      <c r="D22" s="21">
        <f>C22*(1+Supuestos!$D$7)</f>
        <v/>
      </c>
      <c r="E22" s="21">
        <f>D22*(1+Supuestos!$D$7)</f>
        <v/>
      </c>
      <c r="F22" s="21">
        <f>E22*(1+Supuestos!$D$7)</f>
        <v/>
      </c>
      <c r="G22" s="21">
        <f>F22*(1+Supuestos!$D$7)</f>
        <v/>
      </c>
      <c r="H22" s="21">
        <f>G22*(1+Supuestos!$D$7)</f>
        <v/>
      </c>
      <c r="I22" s="21">
        <f>H22*(1+Supuestos!$D$7)</f>
        <v/>
      </c>
      <c r="J22" s="21">
        <f>I22*(1+Supuestos!$D$7)</f>
        <v/>
      </c>
      <c r="K22" s="21">
        <f>J22*(1+Supuestos!$D$7)</f>
        <v/>
      </c>
      <c r="L22" s="21">
        <f>K22*(1+Supuestos!$D$7)</f>
        <v/>
      </c>
      <c r="M22" s="21">
        <f>L22*(1+Supuestos!$D$7)</f>
        <v/>
      </c>
      <c r="N22" s="21">
        <f>M22*(1+Supuestos!$D$7)</f>
        <v/>
      </c>
      <c r="O22" s="21">
        <f>N22*(1+Supuestos!$D$7)</f>
        <v/>
      </c>
      <c r="P22" s="21">
        <f>O22*(1+Supuestos!$D$7)</f>
        <v/>
      </c>
      <c r="Q22" s="21">
        <f>P22*(1+Supuestos!$D$7)</f>
        <v/>
      </c>
      <c r="R22" s="21">
        <f>Q22*(1+Supuestos!$D$7)</f>
        <v/>
      </c>
      <c r="S22" s="21">
        <f>R22*(1+Supuestos!$D$7)</f>
        <v/>
      </c>
      <c r="T22" s="21">
        <f>S22*(1+Supuestos!$D$7)</f>
        <v/>
      </c>
      <c r="U22" s="21">
        <f>T22*(1+Supuestos!$D$7)</f>
        <v/>
      </c>
      <c r="V22" s="21">
        <f>U22*(1+Supuestos!$D$7)</f>
        <v/>
      </c>
      <c r="W22" s="21">
        <f>V22*(1+Supuestos!$D$7)</f>
        <v/>
      </c>
      <c r="X22" s="21">
        <f>W22*(1+Supuestos!$D$7)</f>
        <v/>
      </c>
      <c r="Y22" s="21">
        <f>X22*(1+Supuestos!$D$7)</f>
        <v/>
      </c>
      <c r="Z22" s="21">
        <f>Y22*(1+Supuestos!$D$7)</f>
        <v/>
      </c>
      <c r="AA22" s="21">
        <f>Z22*(1+Supuestos!$D$7)</f>
        <v/>
      </c>
      <c r="AB22" s="21">
        <f>AA22*(1+Supuestos!$D$7)</f>
        <v/>
      </c>
      <c r="AC22" s="21">
        <f>AB22*(1+Supuestos!$D$7)</f>
        <v/>
      </c>
      <c r="AD22" s="21">
        <f>AC22*(1+Supuestos!$D$7)</f>
        <v/>
      </c>
      <c r="AE22" s="21">
        <f>AD22*(1+Supuestos!$D$7)</f>
        <v/>
      </c>
      <c r="AF22" s="21">
        <f>AE22*(1+Supuestos!$D$7)</f>
        <v/>
      </c>
      <c r="AG22" s="21">
        <f>AF22*(1+Supuestos!$D$7)</f>
        <v/>
      </c>
      <c r="AH22" s="21">
        <f>AG22*(1+Supuestos!$D$7)</f>
        <v/>
      </c>
      <c r="AI22" s="21">
        <f>AH22*(1+Supuestos!$D$7)</f>
        <v/>
      </c>
      <c r="AJ22" s="21">
        <f>AI22*(1+Supuestos!$D$7)</f>
        <v/>
      </c>
      <c r="AK22" s="21">
        <f>AJ22*(1+Supuestos!$D$7)</f>
        <v/>
      </c>
      <c r="AL22" s="21">
        <f>AK22*(1+Supuestos!$D$7)</f>
        <v/>
      </c>
    </row>
    <row r="23">
      <c r="A23" s="9" t="inlineStr">
        <is>
          <t>Clientes que se van</t>
        </is>
      </c>
      <c r="C23" s="21">
        <f>0</f>
        <v/>
      </c>
      <c r="D23" s="21">
        <f>C24*Supuestos!$D$8</f>
        <v/>
      </c>
      <c r="E23" s="21">
        <f>D24*Supuestos!$D$8</f>
        <v/>
      </c>
      <c r="F23" s="21">
        <f>E24*Supuestos!$D$8</f>
        <v/>
      </c>
      <c r="G23" s="21">
        <f>F24*Supuestos!$D$8</f>
        <v/>
      </c>
      <c r="H23" s="21">
        <f>G24*Supuestos!$D$8</f>
        <v/>
      </c>
      <c r="I23" s="21">
        <f>H24*Supuestos!$D$8</f>
        <v/>
      </c>
      <c r="J23" s="21">
        <f>I24*Supuestos!$D$8</f>
        <v/>
      </c>
      <c r="K23" s="21">
        <f>J24*Supuestos!$D$8</f>
        <v/>
      </c>
      <c r="L23" s="21">
        <f>K24*Supuestos!$D$8</f>
        <v/>
      </c>
      <c r="M23" s="21">
        <f>L24*Supuestos!$D$8</f>
        <v/>
      </c>
      <c r="N23" s="21">
        <f>M24*Supuestos!$D$8</f>
        <v/>
      </c>
      <c r="O23" s="21">
        <f>N24*Supuestos!$D$8</f>
        <v/>
      </c>
      <c r="P23" s="21">
        <f>O24*Supuestos!$D$8</f>
        <v/>
      </c>
      <c r="Q23" s="21">
        <f>P24*Supuestos!$D$8</f>
        <v/>
      </c>
      <c r="R23" s="21">
        <f>Q24*Supuestos!$D$8</f>
        <v/>
      </c>
      <c r="S23" s="21">
        <f>R24*Supuestos!$D$8</f>
        <v/>
      </c>
      <c r="T23" s="21">
        <f>S24*Supuestos!$D$8</f>
        <v/>
      </c>
      <c r="U23" s="21">
        <f>T24*Supuestos!$D$8</f>
        <v/>
      </c>
      <c r="V23" s="21">
        <f>U24*Supuestos!$D$8</f>
        <v/>
      </c>
      <c r="W23" s="21">
        <f>V24*Supuestos!$D$8</f>
        <v/>
      </c>
      <c r="X23" s="21">
        <f>W24*Supuestos!$D$8</f>
        <v/>
      </c>
      <c r="Y23" s="21">
        <f>X24*Supuestos!$D$8</f>
        <v/>
      </c>
      <c r="Z23" s="21">
        <f>Y24*Supuestos!$D$8</f>
        <v/>
      </c>
      <c r="AA23" s="21">
        <f>Z24*Supuestos!$D$8</f>
        <v/>
      </c>
      <c r="AB23" s="21">
        <f>AA24*Supuestos!$D$8</f>
        <v/>
      </c>
      <c r="AC23" s="21">
        <f>AB24*Supuestos!$D$8</f>
        <v/>
      </c>
      <c r="AD23" s="21">
        <f>AC24*Supuestos!$D$8</f>
        <v/>
      </c>
      <c r="AE23" s="21">
        <f>AD24*Supuestos!$D$8</f>
        <v/>
      </c>
      <c r="AF23" s="21">
        <f>AE24*Supuestos!$D$8</f>
        <v/>
      </c>
      <c r="AG23" s="21">
        <f>AF24*Supuestos!$D$8</f>
        <v/>
      </c>
      <c r="AH23" s="21">
        <f>AG24*Supuestos!$D$8</f>
        <v/>
      </c>
      <c r="AI23" s="21">
        <f>AH24*Supuestos!$D$8</f>
        <v/>
      </c>
      <c r="AJ23" s="21">
        <f>AI24*Supuestos!$D$8</f>
        <v/>
      </c>
      <c r="AK23" s="21">
        <f>AJ24*Supuestos!$D$8</f>
        <v/>
      </c>
      <c r="AL23" s="21">
        <f>AK24*Supuestos!$D$8</f>
        <v/>
      </c>
    </row>
    <row r="24">
      <c r="A24" s="9" t="inlineStr">
        <is>
          <t>Clientes activos</t>
        </is>
      </c>
      <c r="C24" s="21">
        <f>C22</f>
        <v/>
      </c>
      <c r="D24" s="21">
        <f>C24+D22-D23</f>
        <v/>
      </c>
      <c r="E24" s="21">
        <f>D24+E22-E23</f>
        <v/>
      </c>
      <c r="F24" s="21">
        <f>E24+F22-F23</f>
        <v/>
      </c>
      <c r="G24" s="21">
        <f>F24+G22-G23</f>
        <v/>
      </c>
      <c r="H24" s="21">
        <f>G24+H22-H23</f>
        <v/>
      </c>
      <c r="I24" s="21">
        <f>H24+I22-I23</f>
        <v/>
      </c>
      <c r="J24" s="21">
        <f>I24+J22-J23</f>
        <v/>
      </c>
      <c r="K24" s="21">
        <f>J24+K22-K23</f>
        <v/>
      </c>
      <c r="L24" s="21">
        <f>K24+L22-L23</f>
        <v/>
      </c>
      <c r="M24" s="21">
        <f>L24+M22-M23</f>
        <v/>
      </c>
      <c r="N24" s="21">
        <f>M24+N22-N23</f>
        <v/>
      </c>
      <c r="O24" s="21">
        <f>N24+O22-O23</f>
        <v/>
      </c>
      <c r="P24" s="21">
        <f>O24+P22-P23</f>
        <v/>
      </c>
      <c r="Q24" s="21">
        <f>P24+Q22-Q23</f>
        <v/>
      </c>
      <c r="R24" s="21">
        <f>Q24+R22-R23</f>
        <v/>
      </c>
      <c r="S24" s="21">
        <f>R24+S22-S23</f>
        <v/>
      </c>
      <c r="T24" s="21">
        <f>S24+T22-T23</f>
        <v/>
      </c>
      <c r="U24" s="21">
        <f>T24+U22-U23</f>
        <v/>
      </c>
      <c r="V24" s="21">
        <f>U24+V22-V23</f>
        <v/>
      </c>
      <c r="W24" s="21">
        <f>V24+W22-W23</f>
        <v/>
      </c>
      <c r="X24" s="21">
        <f>W24+X22-X23</f>
        <v/>
      </c>
      <c r="Y24" s="21">
        <f>X24+Y22-Y23</f>
        <v/>
      </c>
      <c r="Z24" s="21">
        <f>Y24+Z22-Z23</f>
        <v/>
      </c>
      <c r="AA24" s="21">
        <f>Z24+AA22-AA23</f>
        <v/>
      </c>
      <c r="AB24" s="21">
        <f>AA24+AB22-AB23</f>
        <v/>
      </c>
      <c r="AC24" s="21">
        <f>AB24+AC22-AC23</f>
        <v/>
      </c>
      <c r="AD24" s="21">
        <f>AC24+AD22-AD23</f>
        <v/>
      </c>
      <c r="AE24" s="21">
        <f>AD24+AE22-AE23</f>
        <v/>
      </c>
      <c r="AF24" s="21">
        <f>AE24+AF22-AF23</f>
        <v/>
      </c>
      <c r="AG24" s="21">
        <f>AF24+AG22-AG23</f>
        <v/>
      </c>
      <c r="AH24" s="21">
        <f>AG24+AH22-AH23</f>
        <v/>
      </c>
      <c r="AI24" s="21">
        <f>AH24+AI22-AI23</f>
        <v/>
      </c>
      <c r="AJ24" s="21">
        <f>AI24+AJ22-AJ23</f>
        <v/>
      </c>
      <c r="AK24" s="21">
        <f>AJ24+AK22-AK23</f>
        <v/>
      </c>
      <c r="AL24" s="21">
        <f>AK24+AL22-AL23</f>
        <v/>
      </c>
    </row>
    <row r="25">
      <c r="A25" s="9" t="inlineStr">
        <is>
          <t>Ingreso promedio por cliente (ARPU)</t>
        </is>
      </c>
      <c r="C25" s="23">
        <f>Supuestos!$D$9</f>
        <v/>
      </c>
      <c r="D25" s="25">
        <f>Supuestos!$D$9</f>
        <v/>
      </c>
      <c r="E25" s="25">
        <f>Supuestos!$D$9</f>
        <v/>
      </c>
      <c r="F25" s="25">
        <f>Supuestos!$D$9</f>
        <v/>
      </c>
      <c r="G25" s="25">
        <f>Supuestos!$D$9</f>
        <v/>
      </c>
      <c r="H25" s="25">
        <f>Supuestos!$D$9</f>
        <v/>
      </c>
      <c r="I25" s="25">
        <f>Supuestos!$D$9</f>
        <v/>
      </c>
      <c r="J25" s="25">
        <f>Supuestos!$D$9</f>
        <v/>
      </c>
      <c r="K25" s="25">
        <f>Supuestos!$D$9</f>
        <v/>
      </c>
      <c r="L25" s="25">
        <f>Supuestos!$D$9</f>
        <v/>
      </c>
      <c r="M25" s="25">
        <f>Supuestos!$D$9</f>
        <v/>
      </c>
      <c r="N25" s="25">
        <f>Supuestos!$D$9</f>
        <v/>
      </c>
      <c r="O25" s="25">
        <f>Supuestos!$D$9</f>
        <v/>
      </c>
      <c r="P25" s="25">
        <f>Supuestos!$D$9</f>
        <v/>
      </c>
      <c r="Q25" s="25">
        <f>Supuestos!$D$9</f>
        <v/>
      </c>
      <c r="R25" s="25">
        <f>Supuestos!$D$9</f>
        <v/>
      </c>
      <c r="S25" s="25">
        <f>Supuestos!$D$9</f>
        <v/>
      </c>
      <c r="T25" s="25">
        <f>Supuestos!$D$9</f>
        <v/>
      </c>
      <c r="U25" s="25">
        <f>Supuestos!$D$9</f>
        <v/>
      </c>
      <c r="V25" s="25">
        <f>Supuestos!$D$9</f>
        <v/>
      </c>
      <c r="W25" s="25">
        <f>Supuestos!$D$9</f>
        <v/>
      </c>
      <c r="X25" s="25">
        <f>Supuestos!$D$9</f>
        <v/>
      </c>
      <c r="Y25" s="25">
        <f>Supuestos!$D$9</f>
        <v/>
      </c>
      <c r="Z25" s="25">
        <f>Supuestos!$D$9</f>
        <v/>
      </c>
      <c r="AA25" s="25">
        <f>Supuestos!$D$9</f>
        <v/>
      </c>
      <c r="AB25" s="25">
        <f>Supuestos!$D$9</f>
        <v/>
      </c>
      <c r="AC25" s="25">
        <f>Supuestos!$D$9</f>
        <v/>
      </c>
      <c r="AD25" s="25">
        <f>Supuestos!$D$9</f>
        <v/>
      </c>
      <c r="AE25" s="25">
        <f>Supuestos!$D$9</f>
        <v/>
      </c>
      <c r="AF25" s="25">
        <f>Supuestos!$D$9</f>
        <v/>
      </c>
      <c r="AG25" s="25">
        <f>Supuestos!$D$9</f>
        <v/>
      </c>
      <c r="AH25" s="25">
        <f>Supuestos!$D$9</f>
        <v/>
      </c>
      <c r="AI25" s="25">
        <f>Supuestos!$D$9</f>
        <v/>
      </c>
      <c r="AJ25" s="25">
        <f>Supuestos!$D$9</f>
        <v/>
      </c>
      <c r="AK25" s="25">
        <f>Supuestos!$D$9</f>
        <v/>
      </c>
      <c r="AL25" s="25">
        <f>Supuestos!$D$9</f>
        <v/>
      </c>
    </row>
    <row r="26">
      <c r="A26" s="4" t="inlineStr">
        <is>
          <t>Ingresos del mes</t>
        </is>
      </c>
      <c r="C26" s="25">
        <f>C24*C25</f>
        <v/>
      </c>
      <c r="D26" s="25">
        <f>D24*D25</f>
        <v/>
      </c>
      <c r="E26" s="25">
        <f>E24*E25</f>
        <v/>
      </c>
      <c r="F26" s="25">
        <f>F24*F25</f>
        <v/>
      </c>
      <c r="G26" s="25">
        <f>G24*G25</f>
        <v/>
      </c>
      <c r="H26" s="25">
        <f>H24*H25</f>
        <v/>
      </c>
      <c r="I26" s="25">
        <f>I24*I25</f>
        <v/>
      </c>
      <c r="J26" s="25">
        <f>J24*J25</f>
        <v/>
      </c>
      <c r="K26" s="25">
        <f>K24*K25</f>
        <v/>
      </c>
      <c r="L26" s="25">
        <f>L24*L25</f>
        <v/>
      </c>
      <c r="M26" s="25">
        <f>M24*M25</f>
        <v/>
      </c>
      <c r="N26" s="25">
        <f>N24*N25</f>
        <v/>
      </c>
      <c r="O26" s="25">
        <f>O24*O25</f>
        <v/>
      </c>
      <c r="P26" s="25">
        <f>P24*P25</f>
        <v/>
      </c>
      <c r="Q26" s="25">
        <f>Q24*Q25</f>
        <v/>
      </c>
      <c r="R26" s="25">
        <f>R24*R25</f>
        <v/>
      </c>
      <c r="S26" s="25">
        <f>S24*S25</f>
        <v/>
      </c>
      <c r="T26" s="25">
        <f>T24*T25</f>
        <v/>
      </c>
      <c r="U26" s="25">
        <f>U24*U25</f>
        <v/>
      </c>
      <c r="V26" s="25">
        <f>V24*V25</f>
        <v/>
      </c>
      <c r="W26" s="25">
        <f>W24*W25</f>
        <v/>
      </c>
      <c r="X26" s="25">
        <f>X24*X25</f>
        <v/>
      </c>
      <c r="Y26" s="25">
        <f>Y24*Y25</f>
        <v/>
      </c>
      <c r="Z26" s="25">
        <f>Z24*Z25</f>
        <v/>
      </c>
      <c r="AA26" s="25">
        <f>AA24*AA25</f>
        <v/>
      </c>
      <c r="AB26" s="25">
        <f>AB24*AB25</f>
        <v/>
      </c>
      <c r="AC26" s="25">
        <f>AC24*AC25</f>
        <v/>
      </c>
      <c r="AD26" s="25">
        <f>AD24*AD25</f>
        <v/>
      </c>
      <c r="AE26" s="25">
        <f>AE24*AE25</f>
        <v/>
      </c>
      <c r="AF26" s="25">
        <f>AF24*AF25</f>
        <v/>
      </c>
      <c r="AG26" s="25">
        <f>AG24*AG25</f>
        <v/>
      </c>
      <c r="AH26" s="25">
        <f>AH24*AH25</f>
        <v/>
      </c>
      <c r="AI26" s="25">
        <f>AI24*AI25</f>
        <v/>
      </c>
      <c r="AJ26" s="25">
        <f>AJ24*AJ25</f>
        <v/>
      </c>
      <c r="AK26" s="25">
        <f>AK24*AK25</f>
        <v/>
      </c>
      <c r="AL26" s="25">
        <f>AL24*AL25</f>
        <v/>
      </c>
    </row>
    <row r="27">
      <c r="A27" s="9" t="inlineStr">
        <is>
          <t>Costos variables</t>
        </is>
      </c>
      <c r="C27" s="25">
        <f>C24*Supuestos!$C$10+C26*Supuestos!$C$11</f>
        <v/>
      </c>
      <c r="D27" s="25">
        <f>D24*Supuestos!$C$10+D26*Supuestos!$C$11</f>
        <v/>
      </c>
      <c r="E27" s="25">
        <f>E24*Supuestos!$C$10+E26*Supuestos!$C$11</f>
        <v/>
      </c>
      <c r="F27" s="25">
        <f>F24*Supuestos!$C$10+F26*Supuestos!$C$11</f>
        <v/>
      </c>
      <c r="G27" s="25">
        <f>G24*Supuestos!$C$10+G26*Supuestos!$C$11</f>
        <v/>
      </c>
      <c r="H27" s="25">
        <f>H24*Supuestos!$C$10+H26*Supuestos!$C$11</f>
        <v/>
      </c>
      <c r="I27" s="25">
        <f>I24*Supuestos!$C$10+I26*Supuestos!$C$11</f>
        <v/>
      </c>
      <c r="J27" s="25">
        <f>J24*Supuestos!$C$10+J26*Supuestos!$C$11</f>
        <v/>
      </c>
      <c r="K27" s="25">
        <f>K24*Supuestos!$C$10+K26*Supuestos!$C$11</f>
        <v/>
      </c>
      <c r="L27" s="25">
        <f>L24*Supuestos!$C$10+L26*Supuestos!$C$11</f>
        <v/>
      </c>
      <c r="M27" s="25">
        <f>M24*Supuestos!$C$10+M26*Supuestos!$C$11</f>
        <v/>
      </c>
      <c r="N27" s="25">
        <f>N24*Supuestos!$C$10+N26*Supuestos!$C$11</f>
        <v/>
      </c>
      <c r="O27" s="25">
        <f>O24*Supuestos!$C$10+O26*Supuestos!$C$11</f>
        <v/>
      </c>
      <c r="P27" s="25">
        <f>P24*Supuestos!$C$10+P26*Supuestos!$C$11</f>
        <v/>
      </c>
      <c r="Q27" s="25">
        <f>Q24*Supuestos!$C$10+Q26*Supuestos!$C$11</f>
        <v/>
      </c>
      <c r="R27" s="25">
        <f>R24*Supuestos!$C$10+R26*Supuestos!$C$11</f>
        <v/>
      </c>
      <c r="S27" s="25">
        <f>S24*Supuestos!$C$10+S26*Supuestos!$C$11</f>
        <v/>
      </c>
      <c r="T27" s="25">
        <f>T24*Supuestos!$C$10+T26*Supuestos!$C$11</f>
        <v/>
      </c>
      <c r="U27" s="25">
        <f>U24*Supuestos!$C$10+U26*Supuestos!$C$11</f>
        <v/>
      </c>
      <c r="V27" s="25">
        <f>V24*Supuestos!$C$10+V26*Supuestos!$C$11</f>
        <v/>
      </c>
      <c r="W27" s="25">
        <f>W24*Supuestos!$C$10+W26*Supuestos!$C$11</f>
        <v/>
      </c>
      <c r="X27" s="25">
        <f>X24*Supuestos!$C$10+X26*Supuestos!$C$11</f>
        <v/>
      </c>
      <c r="Y27" s="25">
        <f>Y24*Supuestos!$C$10+Y26*Supuestos!$C$11</f>
        <v/>
      </c>
      <c r="Z27" s="25">
        <f>Z24*Supuestos!$C$10+Z26*Supuestos!$C$11</f>
        <v/>
      </c>
      <c r="AA27" s="25">
        <f>AA24*Supuestos!$C$10+AA26*Supuestos!$C$11</f>
        <v/>
      </c>
      <c r="AB27" s="25">
        <f>AB24*Supuestos!$C$10+AB26*Supuestos!$C$11</f>
        <v/>
      </c>
      <c r="AC27" s="25">
        <f>AC24*Supuestos!$C$10+AC26*Supuestos!$C$11</f>
        <v/>
      </c>
      <c r="AD27" s="25">
        <f>AD24*Supuestos!$C$10+AD26*Supuestos!$C$11</f>
        <v/>
      </c>
      <c r="AE27" s="25">
        <f>AE24*Supuestos!$C$10+AE26*Supuestos!$C$11</f>
        <v/>
      </c>
      <c r="AF27" s="25">
        <f>AF24*Supuestos!$C$10+AF26*Supuestos!$C$11</f>
        <v/>
      </c>
      <c r="AG27" s="25">
        <f>AG24*Supuestos!$C$10+AG26*Supuestos!$C$11</f>
        <v/>
      </c>
      <c r="AH27" s="25">
        <f>AH24*Supuestos!$C$10+AH26*Supuestos!$C$11</f>
        <v/>
      </c>
      <c r="AI27" s="25">
        <f>AI24*Supuestos!$C$10+AI26*Supuestos!$C$11</f>
        <v/>
      </c>
      <c r="AJ27" s="25">
        <f>AJ24*Supuestos!$C$10+AJ26*Supuestos!$C$11</f>
        <v/>
      </c>
      <c r="AK27" s="25">
        <f>AK24*Supuestos!$C$10+AK26*Supuestos!$C$11</f>
        <v/>
      </c>
      <c r="AL27" s="25">
        <f>AL24*Supuestos!$C$10+AL26*Supuestos!$C$11</f>
        <v/>
      </c>
    </row>
    <row r="28">
      <c r="A28" s="9" t="inlineStr">
        <is>
          <t>Costo de conseguir clientes</t>
        </is>
      </c>
      <c r="C28" s="25">
        <f>C22*Supuestos!$C$12</f>
        <v/>
      </c>
      <c r="D28" s="25">
        <f>D22*Supuestos!$C$12</f>
        <v/>
      </c>
      <c r="E28" s="25">
        <f>E22*Supuestos!$C$12</f>
        <v/>
      </c>
      <c r="F28" s="25">
        <f>F22*Supuestos!$C$12</f>
        <v/>
      </c>
      <c r="G28" s="25">
        <f>G22*Supuestos!$C$12</f>
        <v/>
      </c>
      <c r="H28" s="25">
        <f>H22*Supuestos!$C$12</f>
        <v/>
      </c>
      <c r="I28" s="25">
        <f>I22*Supuestos!$C$12</f>
        <v/>
      </c>
      <c r="J28" s="25">
        <f>J22*Supuestos!$C$12</f>
        <v/>
      </c>
      <c r="K28" s="25">
        <f>K22*Supuestos!$C$12</f>
        <v/>
      </c>
      <c r="L28" s="25">
        <f>L22*Supuestos!$C$12</f>
        <v/>
      </c>
      <c r="M28" s="25">
        <f>M22*Supuestos!$C$12</f>
        <v/>
      </c>
      <c r="N28" s="25">
        <f>N22*Supuestos!$C$12</f>
        <v/>
      </c>
      <c r="O28" s="25">
        <f>O22*Supuestos!$C$12</f>
        <v/>
      </c>
      <c r="P28" s="25">
        <f>P22*Supuestos!$C$12</f>
        <v/>
      </c>
      <c r="Q28" s="25">
        <f>Q22*Supuestos!$C$12</f>
        <v/>
      </c>
      <c r="R28" s="25">
        <f>R22*Supuestos!$C$12</f>
        <v/>
      </c>
      <c r="S28" s="25">
        <f>S22*Supuestos!$C$12</f>
        <v/>
      </c>
      <c r="T28" s="25">
        <f>T22*Supuestos!$C$12</f>
        <v/>
      </c>
      <c r="U28" s="25">
        <f>U22*Supuestos!$C$12</f>
        <v/>
      </c>
      <c r="V28" s="25">
        <f>V22*Supuestos!$C$12</f>
        <v/>
      </c>
      <c r="W28" s="25">
        <f>W22*Supuestos!$C$12</f>
        <v/>
      </c>
      <c r="X28" s="25">
        <f>X22*Supuestos!$C$12</f>
        <v/>
      </c>
      <c r="Y28" s="25">
        <f>Y22*Supuestos!$C$12</f>
        <v/>
      </c>
      <c r="Z28" s="25">
        <f>Z22*Supuestos!$C$12</f>
        <v/>
      </c>
      <c r="AA28" s="25">
        <f>AA22*Supuestos!$C$12</f>
        <v/>
      </c>
      <c r="AB28" s="25">
        <f>AB22*Supuestos!$C$12</f>
        <v/>
      </c>
      <c r="AC28" s="25">
        <f>AC22*Supuestos!$C$12</f>
        <v/>
      </c>
      <c r="AD28" s="25">
        <f>AD22*Supuestos!$C$12</f>
        <v/>
      </c>
      <c r="AE28" s="25">
        <f>AE22*Supuestos!$C$12</f>
        <v/>
      </c>
      <c r="AF28" s="25">
        <f>AF22*Supuestos!$C$12</f>
        <v/>
      </c>
      <c r="AG28" s="25">
        <f>AG22*Supuestos!$C$12</f>
        <v/>
      </c>
      <c r="AH28" s="25">
        <f>AH22*Supuestos!$C$12</f>
        <v/>
      </c>
      <c r="AI28" s="25">
        <f>AI22*Supuestos!$C$12</f>
        <v/>
      </c>
      <c r="AJ28" s="25">
        <f>AJ22*Supuestos!$C$12</f>
        <v/>
      </c>
      <c r="AK28" s="25">
        <f>AK22*Supuestos!$C$12</f>
        <v/>
      </c>
      <c r="AL28" s="25">
        <f>AL22*Supuestos!$C$12</f>
        <v/>
      </c>
    </row>
    <row r="29">
      <c r="A29" s="9" t="inlineStr">
        <is>
          <t>Gastos fijos (equipo y operación)</t>
        </is>
      </c>
      <c r="C29" s="25">
        <f>SUMPRODUCT((Presupuesto!$D$5:$D$16&lt;=C$4)*Presupuesto!$E$5:$E$16)</f>
        <v/>
      </c>
      <c r="D29" s="25">
        <f>SUMPRODUCT((Presupuesto!$D$5:$D$16&lt;=D$4)*Presupuesto!$E$5:$E$16)</f>
        <v/>
      </c>
      <c r="E29" s="25">
        <f>SUMPRODUCT((Presupuesto!$D$5:$D$16&lt;=E$4)*Presupuesto!$E$5:$E$16)</f>
        <v/>
      </c>
      <c r="F29" s="25">
        <f>SUMPRODUCT((Presupuesto!$D$5:$D$16&lt;=F$4)*Presupuesto!$E$5:$E$16)</f>
        <v/>
      </c>
      <c r="G29" s="25">
        <f>SUMPRODUCT((Presupuesto!$D$5:$D$16&lt;=G$4)*Presupuesto!$E$5:$E$16)</f>
        <v/>
      </c>
      <c r="H29" s="25">
        <f>SUMPRODUCT((Presupuesto!$D$5:$D$16&lt;=H$4)*Presupuesto!$E$5:$E$16)</f>
        <v/>
      </c>
      <c r="I29" s="25">
        <f>SUMPRODUCT((Presupuesto!$D$5:$D$16&lt;=I$4)*Presupuesto!$E$5:$E$16)</f>
        <v/>
      </c>
      <c r="J29" s="25">
        <f>SUMPRODUCT((Presupuesto!$D$5:$D$16&lt;=J$4)*Presupuesto!$E$5:$E$16)</f>
        <v/>
      </c>
      <c r="K29" s="25">
        <f>SUMPRODUCT((Presupuesto!$D$5:$D$16&lt;=K$4)*Presupuesto!$E$5:$E$16)</f>
        <v/>
      </c>
      <c r="L29" s="25">
        <f>SUMPRODUCT((Presupuesto!$D$5:$D$16&lt;=L$4)*Presupuesto!$E$5:$E$16)</f>
        <v/>
      </c>
      <c r="M29" s="25">
        <f>SUMPRODUCT((Presupuesto!$D$5:$D$16&lt;=M$4)*Presupuesto!$E$5:$E$16)</f>
        <v/>
      </c>
      <c r="N29" s="25">
        <f>SUMPRODUCT((Presupuesto!$D$5:$D$16&lt;=N$4)*Presupuesto!$E$5:$E$16)</f>
        <v/>
      </c>
      <c r="O29" s="25">
        <f>SUMPRODUCT((Presupuesto!$D$5:$D$16&lt;=O$4)*Presupuesto!$E$5:$E$16)</f>
        <v/>
      </c>
      <c r="P29" s="25">
        <f>SUMPRODUCT((Presupuesto!$D$5:$D$16&lt;=P$4)*Presupuesto!$E$5:$E$16)</f>
        <v/>
      </c>
      <c r="Q29" s="25">
        <f>SUMPRODUCT((Presupuesto!$D$5:$D$16&lt;=Q$4)*Presupuesto!$E$5:$E$16)</f>
        <v/>
      </c>
      <c r="R29" s="25">
        <f>SUMPRODUCT((Presupuesto!$D$5:$D$16&lt;=R$4)*Presupuesto!$E$5:$E$16)</f>
        <v/>
      </c>
      <c r="S29" s="25">
        <f>SUMPRODUCT((Presupuesto!$D$5:$D$16&lt;=S$4)*Presupuesto!$E$5:$E$16)</f>
        <v/>
      </c>
      <c r="T29" s="25">
        <f>SUMPRODUCT((Presupuesto!$D$5:$D$16&lt;=T$4)*Presupuesto!$E$5:$E$16)</f>
        <v/>
      </c>
      <c r="U29" s="25">
        <f>SUMPRODUCT((Presupuesto!$D$5:$D$16&lt;=U$4)*Presupuesto!$E$5:$E$16)</f>
        <v/>
      </c>
      <c r="V29" s="25">
        <f>SUMPRODUCT((Presupuesto!$D$5:$D$16&lt;=V$4)*Presupuesto!$E$5:$E$16)</f>
        <v/>
      </c>
      <c r="W29" s="25">
        <f>SUMPRODUCT((Presupuesto!$D$5:$D$16&lt;=W$4)*Presupuesto!$E$5:$E$16)</f>
        <v/>
      </c>
      <c r="X29" s="25">
        <f>SUMPRODUCT((Presupuesto!$D$5:$D$16&lt;=X$4)*Presupuesto!$E$5:$E$16)</f>
        <v/>
      </c>
      <c r="Y29" s="25">
        <f>SUMPRODUCT((Presupuesto!$D$5:$D$16&lt;=Y$4)*Presupuesto!$E$5:$E$16)</f>
        <v/>
      </c>
      <c r="Z29" s="25">
        <f>SUMPRODUCT((Presupuesto!$D$5:$D$16&lt;=Z$4)*Presupuesto!$E$5:$E$16)</f>
        <v/>
      </c>
      <c r="AA29" s="25">
        <f>SUMPRODUCT((Presupuesto!$D$5:$D$16&lt;=AA$4)*Presupuesto!$E$5:$E$16)</f>
        <v/>
      </c>
      <c r="AB29" s="25">
        <f>SUMPRODUCT((Presupuesto!$D$5:$D$16&lt;=AB$4)*Presupuesto!$E$5:$E$16)</f>
        <v/>
      </c>
      <c r="AC29" s="25">
        <f>SUMPRODUCT((Presupuesto!$D$5:$D$16&lt;=AC$4)*Presupuesto!$E$5:$E$16)</f>
        <v/>
      </c>
      <c r="AD29" s="25">
        <f>SUMPRODUCT((Presupuesto!$D$5:$D$16&lt;=AD$4)*Presupuesto!$E$5:$E$16)</f>
        <v/>
      </c>
      <c r="AE29" s="25">
        <f>SUMPRODUCT((Presupuesto!$D$5:$D$16&lt;=AE$4)*Presupuesto!$E$5:$E$16)</f>
        <v/>
      </c>
      <c r="AF29" s="25">
        <f>SUMPRODUCT((Presupuesto!$D$5:$D$16&lt;=AF$4)*Presupuesto!$E$5:$E$16)</f>
        <v/>
      </c>
      <c r="AG29" s="25">
        <f>SUMPRODUCT((Presupuesto!$D$5:$D$16&lt;=AG$4)*Presupuesto!$E$5:$E$16)</f>
        <v/>
      </c>
      <c r="AH29" s="25">
        <f>SUMPRODUCT((Presupuesto!$D$5:$D$16&lt;=AH$4)*Presupuesto!$E$5:$E$16)</f>
        <v/>
      </c>
      <c r="AI29" s="25">
        <f>SUMPRODUCT((Presupuesto!$D$5:$D$16&lt;=AI$4)*Presupuesto!$E$5:$E$16)</f>
        <v/>
      </c>
      <c r="AJ29" s="25">
        <f>SUMPRODUCT((Presupuesto!$D$5:$D$16&lt;=AJ$4)*Presupuesto!$E$5:$E$16)</f>
        <v/>
      </c>
      <c r="AK29" s="25">
        <f>SUMPRODUCT((Presupuesto!$D$5:$D$16&lt;=AK$4)*Presupuesto!$E$5:$E$16)</f>
        <v/>
      </c>
      <c r="AL29" s="25">
        <f>SUMPRODUCT((Presupuesto!$D$5:$D$16&lt;=AL$4)*Presupuesto!$E$5:$E$16)</f>
        <v/>
      </c>
    </row>
    <row r="30">
      <c r="A30" s="4" t="inlineStr">
        <is>
          <t>Resultado operativo (EBITDA)</t>
        </is>
      </c>
      <c r="C30" s="25">
        <f>C26-C27-C28-C29</f>
        <v/>
      </c>
      <c r="D30" s="25">
        <f>D26-D27-D28-D29</f>
        <v/>
      </c>
      <c r="E30" s="25">
        <f>E26-E27-E28-E29</f>
        <v/>
      </c>
      <c r="F30" s="25">
        <f>F26-F27-F28-F29</f>
        <v/>
      </c>
      <c r="G30" s="25">
        <f>G26-G27-G28-G29</f>
        <v/>
      </c>
      <c r="H30" s="25">
        <f>H26-H27-H28-H29</f>
        <v/>
      </c>
      <c r="I30" s="25">
        <f>I26-I27-I28-I29</f>
        <v/>
      </c>
      <c r="J30" s="25">
        <f>J26-J27-J28-J29</f>
        <v/>
      </c>
      <c r="K30" s="25">
        <f>K26-K27-K28-K29</f>
        <v/>
      </c>
      <c r="L30" s="25">
        <f>L26-L27-L28-L29</f>
        <v/>
      </c>
      <c r="M30" s="25">
        <f>M26-M27-M28-M29</f>
        <v/>
      </c>
      <c r="N30" s="25">
        <f>N26-N27-N28-N29</f>
        <v/>
      </c>
      <c r="O30" s="25">
        <f>O26-O27-O28-O29</f>
        <v/>
      </c>
      <c r="P30" s="25">
        <f>P26-P27-P28-P29</f>
        <v/>
      </c>
      <c r="Q30" s="25">
        <f>Q26-Q27-Q28-Q29</f>
        <v/>
      </c>
      <c r="R30" s="25">
        <f>R26-R27-R28-R29</f>
        <v/>
      </c>
      <c r="S30" s="25">
        <f>S26-S27-S28-S29</f>
        <v/>
      </c>
      <c r="T30" s="25">
        <f>T26-T27-T28-T29</f>
        <v/>
      </c>
      <c r="U30" s="25">
        <f>U26-U27-U28-U29</f>
        <v/>
      </c>
      <c r="V30" s="25">
        <f>V26-V27-V28-V29</f>
        <v/>
      </c>
      <c r="W30" s="25">
        <f>W26-W27-W28-W29</f>
        <v/>
      </c>
      <c r="X30" s="25">
        <f>X26-X27-X28-X29</f>
        <v/>
      </c>
      <c r="Y30" s="25">
        <f>Y26-Y27-Y28-Y29</f>
        <v/>
      </c>
      <c r="Z30" s="25">
        <f>Z26-Z27-Z28-Z29</f>
        <v/>
      </c>
      <c r="AA30" s="25">
        <f>AA26-AA27-AA28-AA29</f>
        <v/>
      </c>
      <c r="AB30" s="25">
        <f>AB26-AB27-AB28-AB29</f>
        <v/>
      </c>
      <c r="AC30" s="25">
        <f>AC26-AC27-AC28-AC29</f>
        <v/>
      </c>
      <c r="AD30" s="25">
        <f>AD26-AD27-AD28-AD29</f>
        <v/>
      </c>
      <c r="AE30" s="25">
        <f>AE26-AE27-AE28-AE29</f>
        <v/>
      </c>
      <c r="AF30" s="25">
        <f>AF26-AF27-AF28-AF29</f>
        <v/>
      </c>
      <c r="AG30" s="25">
        <f>AG26-AG27-AG28-AG29</f>
        <v/>
      </c>
      <c r="AH30" s="25">
        <f>AH26-AH27-AH28-AH29</f>
        <v/>
      </c>
      <c r="AI30" s="25">
        <f>AI26-AI27-AI28-AI29</f>
        <v/>
      </c>
      <c r="AJ30" s="25">
        <f>AJ26-AJ27-AJ28-AJ29</f>
        <v/>
      </c>
      <c r="AK30" s="25">
        <f>AK26-AK27-AK28-AK29</f>
        <v/>
      </c>
      <c r="AL30" s="25">
        <f>AL26-AL27-AL28-AL29</f>
        <v/>
      </c>
    </row>
    <row r="31">
      <c r="A31" s="4" t="inlineStr">
        <is>
          <t>Caja acumulada (sin inversión)</t>
        </is>
      </c>
      <c r="C31" s="25">
        <f>C30-Presupuesto!$C$28</f>
        <v/>
      </c>
      <c r="D31" s="25">
        <f>C31+D30</f>
        <v/>
      </c>
      <c r="E31" s="25">
        <f>D31+E30</f>
        <v/>
      </c>
      <c r="F31" s="25">
        <f>E31+F30</f>
        <v/>
      </c>
      <c r="G31" s="25">
        <f>F31+G30</f>
        <v/>
      </c>
      <c r="H31" s="25">
        <f>G31+H30</f>
        <v/>
      </c>
      <c r="I31" s="25">
        <f>H31+I30</f>
        <v/>
      </c>
      <c r="J31" s="25">
        <f>I31+J30</f>
        <v/>
      </c>
      <c r="K31" s="25">
        <f>J31+K30</f>
        <v/>
      </c>
      <c r="L31" s="25">
        <f>K31+L30</f>
        <v/>
      </c>
      <c r="M31" s="25">
        <f>L31+M30</f>
        <v/>
      </c>
      <c r="N31" s="25">
        <f>M31+N30</f>
        <v/>
      </c>
      <c r="O31" s="25">
        <f>N31+O30</f>
        <v/>
      </c>
      <c r="P31" s="25">
        <f>O31+P30</f>
        <v/>
      </c>
      <c r="Q31" s="25">
        <f>P31+Q30</f>
        <v/>
      </c>
      <c r="R31" s="25">
        <f>Q31+R30</f>
        <v/>
      </c>
      <c r="S31" s="25">
        <f>R31+S30</f>
        <v/>
      </c>
      <c r="T31" s="25">
        <f>S31+T30</f>
        <v/>
      </c>
      <c r="U31" s="25">
        <f>T31+U30</f>
        <v/>
      </c>
      <c r="V31" s="25">
        <f>U31+V30</f>
        <v/>
      </c>
      <c r="W31" s="25">
        <f>V31+W30</f>
        <v/>
      </c>
      <c r="X31" s="25">
        <f>W31+X30</f>
        <v/>
      </c>
      <c r="Y31" s="25">
        <f>X31+Y30</f>
        <v/>
      </c>
      <c r="Z31" s="25">
        <f>Y31+Z30</f>
        <v/>
      </c>
      <c r="AA31" s="25">
        <f>Z31+AA30</f>
        <v/>
      </c>
      <c r="AB31" s="25">
        <f>AA31+AB30</f>
        <v/>
      </c>
      <c r="AC31" s="25">
        <f>AB31+AC30</f>
        <v/>
      </c>
      <c r="AD31" s="25">
        <f>AC31+AD30</f>
        <v/>
      </c>
      <c r="AE31" s="25">
        <f>AD31+AE30</f>
        <v/>
      </c>
      <c r="AF31" s="25">
        <f>AE31+AF30</f>
        <v/>
      </c>
      <c r="AG31" s="25">
        <f>AF31+AG30</f>
        <v/>
      </c>
      <c r="AH31" s="25">
        <f>AG31+AH30</f>
        <v/>
      </c>
      <c r="AI31" s="25">
        <f>AH31+AI30</f>
        <v/>
      </c>
      <c r="AJ31" s="25">
        <f>AI31+AJ30</f>
        <v/>
      </c>
      <c r="AK31" s="25">
        <f>AJ31+AK30</f>
        <v/>
      </c>
      <c r="AL31" s="25">
        <f>AK31+AL30</f>
        <v/>
      </c>
    </row>
    <row r="32">
      <c r="A32" s="9" t="inlineStr">
        <is>
          <t>¿Mes con resultado positivo? (1 = sí)</t>
        </is>
      </c>
      <c r="C32" s="48">
        <f>IF(C30&gt;0,1,0)</f>
        <v/>
      </c>
      <c r="D32" s="48">
        <f>IF(D30&gt;0,1,0)</f>
        <v/>
      </c>
      <c r="E32" s="48">
        <f>IF(E30&gt;0,1,0)</f>
        <v/>
      </c>
      <c r="F32" s="48">
        <f>IF(F30&gt;0,1,0)</f>
        <v/>
      </c>
      <c r="G32" s="48">
        <f>IF(G30&gt;0,1,0)</f>
        <v/>
      </c>
      <c r="H32" s="48">
        <f>IF(H30&gt;0,1,0)</f>
        <v/>
      </c>
      <c r="I32" s="48">
        <f>IF(I30&gt;0,1,0)</f>
        <v/>
      </c>
      <c r="J32" s="48">
        <f>IF(J30&gt;0,1,0)</f>
        <v/>
      </c>
      <c r="K32" s="48">
        <f>IF(K30&gt;0,1,0)</f>
        <v/>
      </c>
      <c r="L32" s="48">
        <f>IF(L30&gt;0,1,0)</f>
        <v/>
      </c>
      <c r="M32" s="48">
        <f>IF(M30&gt;0,1,0)</f>
        <v/>
      </c>
      <c r="N32" s="48">
        <f>IF(N30&gt;0,1,0)</f>
        <v/>
      </c>
      <c r="O32" s="48">
        <f>IF(O30&gt;0,1,0)</f>
        <v/>
      </c>
      <c r="P32" s="48">
        <f>IF(P30&gt;0,1,0)</f>
        <v/>
      </c>
      <c r="Q32" s="48">
        <f>IF(Q30&gt;0,1,0)</f>
        <v/>
      </c>
      <c r="R32" s="48">
        <f>IF(R30&gt;0,1,0)</f>
        <v/>
      </c>
      <c r="S32" s="48">
        <f>IF(S30&gt;0,1,0)</f>
        <v/>
      </c>
      <c r="T32" s="48">
        <f>IF(T30&gt;0,1,0)</f>
        <v/>
      </c>
      <c r="U32" s="48">
        <f>IF(U30&gt;0,1,0)</f>
        <v/>
      </c>
      <c r="V32" s="48">
        <f>IF(V30&gt;0,1,0)</f>
        <v/>
      </c>
      <c r="W32" s="48">
        <f>IF(W30&gt;0,1,0)</f>
        <v/>
      </c>
      <c r="X32" s="48">
        <f>IF(X30&gt;0,1,0)</f>
        <v/>
      </c>
      <c r="Y32" s="48">
        <f>IF(Y30&gt;0,1,0)</f>
        <v/>
      </c>
      <c r="Z32" s="48">
        <f>IF(Z30&gt;0,1,0)</f>
        <v/>
      </c>
      <c r="AA32" s="48">
        <f>IF(AA30&gt;0,1,0)</f>
        <v/>
      </c>
      <c r="AB32" s="48">
        <f>IF(AB30&gt;0,1,0)</f>
        <v/>
      </c>
      <c r="AC32" s="48">
        <f>IF(AC30&gt;0,1,0)</f>
        <v/>
      </c>
      <c r="AD32" s="48">
        <f>IF(AD30&gt;0,1,0)</f>
        <v/>
      </c>
      <c r="AE32" s="48">
        <f>IF(AE30&gt;0,1,0)</f>
        <v/>
      </c>
      <c r="AF32" s="48">
        <f>IF(AF30&gt;0,1,0)</f>
        <v/>
      </c>
      <c r="AG32" s="48">
        <f>IF(AG30&gt;0,1,0)</f>
        <v/>
      </c>
      <c r="AH32" s="48">
        <f>IF(AH30&gt;0,1,0)</f>
        <v/>
      </c>
      <c r="AI32" s="48">
        <f>IF(AI30&gt;0,1,0)</f>
        <v/>
      </c>
      <c r="AJ32" s="48">
        <f>IF(AJ30&gt;0,1,0)</f>
        <v/>
      </c>
      <c r="AK32" s="48">
        <f>IF(AK30&gt;0,1,0)</f>
        <v/>
      </c>
      <c r="AL32" s="48">
        <f>IF(AL30&gt;0,1,0)</f>
        <v/>
      </c>
    </row>
    <row r="35">
      <c r="A35" s="46" t="inlineStr">
        <is>
          <t>Escenario Optimista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</row>
    <row r="36">
      <c r="A36" s="9" t="inlineStr">
        <is>
          <t>Clientes nuevos</t>
        </is>
      </c>
      <c r="C36" s="47">
        <f>Supuestos!$E$6</f>
        <v/>
      </c>
      <c r="D36" s="21">
        <f>C36*(1+Supuestos!$E$7)</f>
        <v/>
      </c>
      <c r="E36" s="21">
        <f>D36*(1+Supuestos!$E$7)</f>
        <v/>
      </c>
      <c r="F36" s="21">
        <f>E36*(1+Supuestos!$E$7)</f>
        <v/>
      </c>
      <c r="G36" s="21">
        <f>F36*(1+Supuestos!$E$7)</f>
        <v/>
      </c>
      <c r="H36" s="21">
        <f>G36*(1+Supuestos!$E$7)</f>
        <v/>
      </c>
      <c r="I36" s="21">
        <f>H36*(1+Supuestos!$E$7)</f>
        <v/>
      </c>
      <c r="J36" s="21">
        <f>I36*(1+Supuestos!$E$7)</f>
        <v/>
      </c>
      <c r="K36" s="21">
        <f>J36*(1+Supuestos!$E$7)</f>
        <v/>
      </c>
      <c r="L36" s="21">
        <f>K36*(1+Supuestos!$E$7)</f>
        <v/>
      </c>
      <c r="M36" s="21">
        <f>L36*(1+Supuestos!$E$7)</f>
        <v/>
      </c>
      <c r="N36" s="21">
        <f>M36*(1+Supuestos!$E$7)</f>
        <v/>
      </c>
      <c r="O36" s="21">
        <f>N36*(1+Supuestos!$E$7)</f>
        <v/>
      </c>
      <c r="P36" s="21">
        <f>O36*(1+Supuestos!$E$7)</f>
        <v/>
      </c>
      <c r="Q36" s="21">
        <f>P36*(1+Supuestos!$E$7)</f>
        <v/>
      </c>
      <c r="R36" s="21">
        <f>Q36*(1+Supuestos!$E$7)</f>
        <v/>
      </c>
      <c r="S36" s="21">
        <f>R36*(1+Supuestos!$E$7)</f>
        <v/>
      </c>
      <c r="T36" s="21">
        <f>S36*(1+Supuestos!$E$7)</f>
        <v/>
      </c>
      <c r="U36" s="21">
        <f>T36*(1+Supuestos!$E$7)</f>
        <v/>
      </c>
      <c r="V36" s="21">
        <f>U36*(1+Supuestos!$E$7)</f>
        <v/>
      </c>
      <c r="W36" s="21">
        <f>V36*(1+Supuestos!$E$7)</f>
        <v/>
      </c>
      <c r="X36" s="21">
        <f>W36*(1+Supuestos!$E$7)</f>
        <v/>
      </c>
      <c r="Y36" s="21">
        <f>X36*(1+Supuestos!$E$7)</f>
        <v/>
      </c>
      <c r="Z36" s="21">
        <f>Y36*(1+Supuestos!$E$7)</f>
        <v/>
      </c>
      <c r="AA36" s="21">
        <f>Z36*(1+Supuestos!$E$7)</f>
        <v/>
      </c>
      <c r="AB36" s="21">
        <f>AA36*(1+Supuestos!$E$7)</f>
        <v/>
      </c>
      <c r="AC36" s="21">
        <f>AB36*(1+Supuestos!$E$7)</f>
        <v/>
      </c>
      <c r="AD36" s="21">
        <f>AC36*(1+Supuestos!$E$7)</f>
        <v/>
      </c>
      <c r="AE36" s="21">
        <f>AD36*(1+Supuestos!$E$7)</f>
        <v/>
      </c>
      <c r="AF36" s="21">
        <f>AE36*(1+Supuestos!$E$7)</f>
        <v/>
      </c>
      <c r="AG36" s="21">
        <f>AF36*(1+Supuestos!$E$7)</f>
        <v/>
      </c>
      <c r="AH36" s="21">
        <f>AG36*(1+Supuestos!$E$7)</f>
        <v/>
      </c>
      <c r="AI36" s="21">
        <f>AH36*(1+Supuestos!$E$7)</f>
        <v/>
      </c>
      <c r="AJ36" s="21">
        <f>AI36*(1+Supuestos!$E$7)</f>
        <v/>
      </c>
      <c r="AK36" s="21">
        <f>AJ36*(1+Supuestos!$E$7)</f>
        <v/>
      </c>
      <c r="AL36" s="21">
        <f>AK36*(1+Supuestos!$E$7)</f>
        <v/>
      </c>
    </row>
    <row r="37">
      <c r="A37" s="9" t="inlineStr">
        <is>
          <t>Clientes que se van</t>
        </is>
      </c>
      <c r="C37" s="21">
        <f>0</f>
        <v/>
      </c>
      <c r="D37" s="21">
        <f>C38*Supuestos!$E$8</f>
        <v/>
      </c>
      <c r="E37" s="21">
        <f>D38*Supuestos!$E$8</f>
        <v/>
      </c>
      <c r="F37" s="21">
        <f>E38*Supuestos!$E$8</f>
        <v/>
      </c>
      <c r="G37" s="21">
        <f>F38*Supuestos!$E$8</f>
        <v/>
      </c>
      <c r="H37" s="21">
        <f>G38*Supuestos!$E$8</f>
        <v/>
      </c>
      <c r="I37" s="21">
        <f>H38*Supuestos!$E$8</f>
        <v/>
      </c>
      <c r="J37" s="21">
        <f>I38*Supuestos!$E$8</f>
        <v/>
      </c>
      <c r="K37" s="21">
        <f>J38*Supuestos!$E$8</f>
        <v/>
      </c>
      <c r="L37" s="21">
        <f>K38*Supuestos!$E$8</f>
        <v/>
      </c>
      <c r="M37" s="21">
        <f>L38*Supuestos!$E$8</f>
        <v/>
      </c>
      <c r="N37" s="21">
        <f>M38*Supuestos!$E$8</f>
        <v/>
      </c>
      <c r="O37" s="21">
        <f>N38*Supuestos!$E$8</f>
        <v/>
      </c>
      <c r="P37" s="21">
        <f>O38*Supuestos!$E$8</f>
        <v/>
      </c>
      <c r="Q37" s="21">
        <f>P38*Supuestos!$E$8</f>
        <v/>
      </c>
      <c r="R37" s="21">
        <f>Q38*Supuestos!$E$8</f>
        <v/>
      </c>
      <c r="S37" s="21">
        <f>R38*Supuestos!$E$8</f>
        <v/>
      </c>
      <c r="T37" s="21">
        <f>S38*Supuestos!$E$8</f>
        <v/>
      </c>
      <c r="U37" s="21">
        <f>T38*Supuestos!$E$8</f>
        <v/>
      </c>
      <c r="V37" s="21">
        <f>U38*Supuestos!$E$8</f>
        <v/>
      </c>
      <c r="W37" s="21">
        <f>V38*Supuestos!$E$8</f>
        <v/>
      </c>
      <c r="X37" s="21">
        <f>W38*Supuestos!$E$8</f>
        <v/>
      </c>
      <c r="Y37" s="21">
        <f>X38*Supuestos!$E$8</f>
        <v/>
      </c>
      <c r="Z37" s="21">
        <f>Y38*Supuestos!$E$8</f>
        <v/>
      </c>
      <c r="AA37" s="21">
        <f>Z38*Supuestos!$E$8</f>
        <v/>
      </c>
      <c r="AB37" s="21">
        <f>AA38*Supuestos!$E$8</f>
        <v/>
      </c>
      <c r="AC37" s="21">
        <f>AB38*Supuestos!$E$8</f>
        <v/>
      </c>
      <c r="AD37" s="21">
        <f>AC38*Supuestos!$E$8</f>
        <v/>
      </c>
      <c r="AE37" s="21">
        <f>AD38*Supuestos!$E$8</f>
        <v/>
      </c>
      <c r="AF37" s="21">
        <f>AE38*Supuestos!$E$8</f>
        <v/>
      </c>
      <c r="AG37" s="21">
        <f>AF38*Supuestos!$E$8</f>
        <v/>
      </c>
      <c r="AH37" s="21">
        <f>AG38*Supuestos!$E$8</f>
        <v/>
      </c>
      <c r="AI37" s="21">
        <f>AH38*Supuestos!$E$8</f>
        <v/>
      </c>
      <c r="AJ37" s="21">
        <f>AI38*Supuestos!$E$8</f>
        <v/>
      </c>
      <c r="AK37" s="21">
        <f>AJ38*Supuestos!$E$8</f>
        <v/>
      </c>
      <c r="AL37" s="21">
        <f>AK38*Supuestos!$E$8</f>
        <v/>
      </c>
    </row>
    <row r="38">
      <c r="A38" s="9" t="inlineStr">
        <is>
          <t>Clientes activos</t>
        </is>
      </c>
      <c r="C38" s="21">
        <f>C36</f>
        <v/>
      </c>
      <c r="D38" s="21">
        <f>C38+D36-D37</f>
        <v/>
      </c>
      <c r="E38" s="21">
        <f>D38+E36-E37</f>
        <v/>
      </c>
      <c r="F38" s="21">
        <f>E38+F36-F37</f>
        <v/>
      </c>
      <c r="G38" s="21">
        <f>F38+G36-G37</f>
        <v/>
      </c>
      <c r="H38" s="21">
        <f>G38+H36-H37</f>
        <v/>
      </c>
      <c r="I38" s="21">
        <f>H38+I36-I37</f>
        <v/>
      </c>
      <c r="J38" s="21">
        <f>I38+J36-J37</f>
        <v/>
      </c>
      <c r="K38" s="21">
        <f>J38+K36-K37</f>
        <v/>
      </c>
      <c r="L38" s="21">
        <f>K38+L36-L37</f>
        <v/>
      </c>
      <c r="M38" s="21">
        <f>L38+M36-M37</f>
        <v/>
      </c>
      <c r="N38" s="21">
        <f>M38+N36-N37</f>
        <v/>
      </c>
      <c r="O38" s="21">
        <f>N38+O36-O37</f>
        <v/>
      </c>
      <c r="P38" s="21">
        <f>O38+P36-P37</f>
        <v/>
      </c>
      <c r="Q38" s="21">
        <f>P38+Q36-Q37</f>
        <v/>
      </c>
      <c r="R38" s="21">
        <f>Q38+R36-R37</f>
        <v/>
      </c>
      <c r="S38" s="21">
        <f>R38+S36-S37</f>
        <v/>
      </c>
      <c r="T38" s="21">
        <f>S38+T36-T37</f>
        <v/>
      </c>
      <c r="U38" s="21">
        <f>T38+U36-U37</f>
        <v/>
      </c>
      <c r="V38" s="21">
        <f>U38+V36-V37</f>
        <v/>
      </c>
      <c r="W38" s="21">
        <f>V38+W36-W37</f>
        <v/>
      </c>
      <c r="X38" s="21">
        <f>W38+X36-X37</f>
        <v/>
      </c>
      <c r="Y38" s="21">
        <f>X38+Y36-Y37</f>
        <v/>
      </c>
      <c r="Z38" s="21">
        <f>Y38+Z36-Z37</f>
        <v/>
      </c>
      <c r="AA38" s="21">
        <f>Z38+AA36-AA37</f>
        <v/>
      </c>
      <c r="AB38" s="21">
        <f>AA38+AB36-AB37</f>
        <v/>
      </c>
      <c r="AC38" s="21">
        <f>AB38+AC36-AC37</f>
        <v/>
      </c>
      <c r="AD38" s="21">
        <f>AC38+AD36-AD37</f>
        <v/>
      </c>
      <c r="AE38" s="21">
        <f>AD38+AE36-AE37</f>
        <v/>
      </c>
      <c r="AF38" s="21">
        <f>AE38+AF36-AF37</f>
        <v/>
      </c>
      <c r="AG38" s="21">
        <f>AF38+AG36-AG37</f>
        <v/>
      </c>
      <c r="AH38" s="21">
        <f>AG38+AH36-AH37</f>
        <v/>
      </c>
      <c r="AI38" s="21">
        <f>AH38+AI36-AI37</f>
        <v/>
      </c>
      <c r="AJ38" s="21">
        <f>AI38+AJ36-AJ37</f>
        <v/>
      </c>
      <c r="AK38" s="21">
        <f>AJ38+AK36-AK37</f>
        <v/>
      </c>
      <c r="AL38" s="21">
        <f>AK38+AL36-AL37</f>
        <v/>
      </c>
    </row>
    <row r="39">
      <c r="A39" s="9" t="inlineStr">
        <is>
          <t>Ingreso promedio por cliente (ARPU)</t>
        </is>
      </c>
      <c r="C39" s="23">
        <f>Supuestos!$E$9</f>
        <v/>
      </c>
      <c r="D39" s="25">
        <f>Supuestos!$E$9</f>
        <v/>
      </c>
      <c r="E39" s="25">
        <f>Supuestos!$E$9</f>
        <v/>
      </c>
      <c r="F39" s="25">
        <f>Supuestos!$E$9</f>
        <v/>
      </c>
      <c r="G39" s="25">
        <f>Supuestos!$E$9</f>
        <v/>
      </c>
      <c r="H39" s="25">
        <f>Supuestos!$E$9</f>
        <v/>
      </c>
      <c r="I39" s="25">
        <f>Supuestos!$E$9</f>
        <v/>
      </c>
      <c r="J39" s="25">
        <f>Supuestos!$E$9</f>
        <v/>
      </c>
      <c r="K39" s="25">
        <f>Supuestos!$E$9</f>
        <v/>
      </c>
      <c r="L39" s="25">
        <f>Supuestos!$E$9</f>
        <v/>
      </c>
      <c r="M39" s="25">
        <f>Supuestos!$E$9</f>
        <v/>
      </c>
      <c r="N39" s="25">
        <f>Supuestos!$E$9</f>
        <v/>
      </c>
      <c r="O39" s="25">
        <f>Supuestos!$E$9</f>
        <v/>
      </c>
      <c r="P39" s="25">
        <f>Supuestos!$E$9</f>
        <v/>
      </c>
      <c r="Q39" s="25">
        <f>Supuestos!$E$9</f>
        <v/>
      </c>
      <c r="R39" s="25">
        <f>Supuestos!$E$9</f>
        <v/>
      </c>
      <c r="S39" s="25">
        <f>Supuestos!$E$9</f>
        <v/>
      </c>
      <c r="T39" s="25">
        <f>Supuestos!$E$9</f>
        <v/>
      </c>
      <c r="U39" s="25">
        <f>Supuestos!$E$9</f>
        <v/>
      </c>
      <c r="V39" s="25">
        <f>Supuestos!$E$9</f>
        <v/>
      </c>
      <c r="W39" s="25">
        <f>Supuestos!$E$9</f>
        <v/>
      </c>
      <c r="X39" s="25">
        <f>Supuestos!$E$9</f>
        <v/>
      </c>
      <c r="Y39" s="25">
        <f>Supuestos!$E$9</f>
        <v/>
      </c>
      <c r="Z39" s="25">
        <f>Supuestos!$E$9</f>
        <v/>
      </c>
      <c r="AA39" s="25">
        <f>Supuestos!$E$9</f>
        <v/>
      </c>
      <c r="AB39" s="25">
        <f>Supuestos!$E$9</f>
        <v/>
      </c>
      <c r="AC39" s="25">
        <f>Supuestos!$E$9</f>
        <v/>
      </c>
      <c r="AD39" s="25">
        <f>Supuestos!$E$9</f>
        <v/>
      </c>
      <c r="AE39" s="25">
        <f>Supuestos!$E$9</f>
        <v/>
      </c>
      <c r="AF39" s="25">
        <f>Supuestos!$E$9</f>
        <v/>
      </c>
      <c r="AG39" s="25">
        <f>Supuestos!$E$9</f>
        <v/>
      </c>
      <c r="AH39" s="25">
        <f>Supuestos!$E$9</f>
        <v/>
      </c>
      <c r="AI39" s="25">
        <f>Supuestos!$E$9</f>
        <v/>
      </c>
      <c r="AJ39" s="25">
        <f>Supuestos!$E$9</f>
        <v/>
      </c>
      <c r="AK39" s="25">
        <f>Supuestos!$E$9</f>
        <v/>
      </c>
      <c r="AL39" s="25">
        <f>Supuestos!$E$9</f>
        <v/>
      </c>
    </row>
    <row r="40">
      <c r="A40" s="4" t="inlineStr">
        <is>
          <t>Ingresos del mes</t>
        </is>
      </c>
      <c r="C40" s="25">
        <f>C38*C39</f>
        <v/>
      </c>
      <c r="D40" s="25">
        <f>D38*D39</f>
        <v/>
      </c>
      <c r="E40" s="25">
        <f>E38*E39</f>
        <v/>
      </c>
      <c r="F40" s="25">
        <f>F38*F39</f>
        <v/>
      </c>
      <c r="G40" s="25">
        <f>G38*G39</f>
        <v/>
      </c>
      <c r="H40" s="25">
        <f>H38*H39</f>
        <v/>
      </c>
      <c r="I40" s="25">
        <f>I38*I39</f>
        <v/>
      </c>
      <c r="J40" s="25">
        <f>J38*J39</f>
        <v/>
      </c>
      <c r="K40" s="25">
        <f>K38*K39</f>
        <v/>
      </c>
      <c r="L40" s="25">
        <f>L38*L39</f>
        <v/>
      </c>
      <c r="M40" s="25">
        <f>M38*M39</f>
        <v/>
      </c>
      <c r="N40" s="25">
        <f>N38*N39</f>
        <v/>
      </c>
      <c r="O40" s="25">
        <f>O38*O39</f>
        <v/>
      </c>
      <c r="P40" s="25">
        <f>P38*P39</f>
        <v/>
      </c>
      <c r="Q40" s="25">
        <f>Q38*Q39</f>
        <v/>
      </c>
      <c r="R40" s="25">
        <f>R38*R39</f>
        <v/>
      </c>
      <c r="S40" s="25">
        <f>S38*S39</f>
        <v/>
      </c>
      <c r="T40" s="25">
        <f>T38*T39</f>
        <v/>
      </c>
      <c r="U40" s="25">
        <f>U38*U39</f>
        <v/>
      </c>
      <c r="V40" s="25">
        <f>V38*V39</f>
        <v/>
      </c>
      <c r="W40" s="25">
        <f>W38*W39</f>
        <v/>
      </c>
      <c r="X40" s="25">
        <f>X38*X39</f>
        <v/>
      </c>
      <c r="Y40" s="25">
        <f>Y38*Y39</f>
        <v/>
      </c>
      <c r="Z40" s="25">
        <f>Z38*Z39</f>
        <v/>
      </c>
      <c r="AA40" s="25">
        <f>AA38*AA39</f>
        <v/>
      </c>
      <c r="AB40" s="25">
        <f>AB38*AB39</f>
        <v/>
      </c>
      <c r="AC40" s="25">
        <f>AC38*AC39</f>
        <v/>
      </c>
      <c r="AD40" s="25">
        <f>AD38*AD39</f>
        <v/>
      </c>
      <c r="AE40" s="25">
        <f>AE38*AE39</f>
        <v/>
      </c>
      <c r="AF40" s="25">
        <f>AF38*AF39</f>
        <v/>
      </c>
      <c r="AG40" s="25">
        <f>AG38*AG39</f>
        <v/>
      </c>
      <c r="AH40" s="25">
        <f>AH38*AH39</f>
        <v/>
      </c>
      <c r="AI40" s="25">
        <f>AI38*AI39</f>
        <v/>
      </c>
      <c r="AJ40" s="25">
        <f>AJ38*AJ39</f>
        <v/>
      </c>
      <c r="AK40" s="25">
        <f>AK38*AK39</f>
        <v/>
      </c>
      <c r="AL40" s="25">
        <f>AL38*AL39</f>
        <v/>
      </c>
    </row>
    <row r="41">
      <c r="A41" s="9" t="inlineStr">
        <is>
          <t>Costos variables</t>
        </is>
      </c>
      <c r="C41" s="25">
        <f>C38*Supuestos!$C$10+C40*Supuestos!$C$11</f>
        <v/>
      </c>
      <c r="D41" s="25">
        <f>D38*Supuestos!$C$10+D40*Supuestos!$C$11</f>
        <v/>
      </c>
      <c r="E41" s="25">
        <f>E38*Supuestos!$C$10+E40*Supuestos!$C$11</f>
        <v/>
      </c>
      <c r="F41" s="25">
        <f>F38*Supuestos!$C$10+F40*Supuestos!$C$11</f>
        <v/>
      </c>
      <c r="G41" s="25">
        <f>G38*Supuestos!$C$10+G40*Supuestos!$C$11</f>
        <v/>
      </c>
      <c r="H41" s="25">
        <f>H38*Supuestos!$C$10+H40*Supuestos!$C$11</f>
        <v/>
      </c>
      <c r="I41" s="25">
        <f>I38*Supuestos!$C$10+I40*Supuestos!$C$11</f>
        <v/>
      </c>
      <c r="J41" s="25">
        <f>J38*Supuestos!$C$10+J40*Supuestos!$C$11</f>
        <v/>
      </c>
      <c r="K41" s="25">
        <f>K38*Supuestos!$C$10+K40*Supuestos!$C$11</f>
        <v/>
      </c>
      <c r="L41" s="25">
        <f>L38*Supuestos!$C$10+L40*Supuestos!$C$11</f>
        <v/>
      </c>
      <c r="M41" s="25">
        <f>M38*Supuestos!$C$10+M40*Supuestos!$C$11</f>
        <v/>
      </c>
      <c r="N41" s="25">
        <f>N38*Supuestos!$C$10+N40*Supuestos!$C$11</f>
        <v/>
      </c>
      <c r="O41" s="25">
        <f>O38*Supuestos!$C$10+O40*Supuestos!$C$11</f>
        <v/>
      </c>
      <c r="P41" s="25">
        <f>P38*Supuestos!$C$10+P40*Supuestos!$C$11</f>
        <v/>
      </c>
      <c r="Q41" s="25">
        <f>Q38*Supuestos!$C$10+Q40*Supuestos!$C$11</f>
        <v/>
      </c>
      <c r="R41" s="25">
        <f>R38*Supuestos!$C$10+R40*Supuestos!$C$11</f>
        <v/>
      </c>
      <c r="S41" s="25">
        <f>S38*Supuestos!$C$10+S40*Supuestos!$C$11</f>
        <v/>
      </c>
      <c r="T41" s="25">
        <f>T38*Supuestos!$C$10+T40*Supuestos!$C$11</f>
        <v/>
      </c>
      <c r="U41" s="25">
        <f>U38*Supuestos!$C$10+U40*Supuestos!$C$11</f>
        <v/>
      </c>
      <c r="V41" s="25">
        <f>V38*Supuestos!$C$10+V40*Supuestos!$C$11</f>
        <v/>
      </c>
      <c r="W41" s="25">
        <f>W38*Supuestos!$C$10+W40*Supuestos!$C$11</f>
        <v/>
      </c>
      <c r="X41" s="25">
        <f>X38*Supuestos!$C$10+X40*Supuestos!$C$11</f>
        <v/>
      </c>
      <c r="Y41" s="25">
        <f>Y38*Supuestos!$C$10+Y40*Supuestos!$C$11</f>
        <v/>
      </c>
      <c r="Z41" s="25">
        <f>Z38*Supuestos!$C$10+Z40*Supuestos!$C$11</f>
        <v/>
      </c>
      <c r="AA41" s="25">
        <f>AA38*Supuestos!$C$10+AA40*Supuestos!$C$11</f>
        <v/>
      </c>
      <c r="AB41" s="25">
        <f>AB38*Supuestos!$C$10+AB40*Supuestos!$C$11</f>
        <v/>
      </c>
      <c r="AC41" s="25">
        <f>AC38*Supuestos!$C$10+AC40*Supuestos!$C$11</f>
        <v/>
      </c>
      <c r="AD41" s="25">
        <f>AD38*Supuestos!$C$10+AD40*Supuestos!$C$11</f>
        <v/>
      </c>
      <c r="AE41" s="25">
        <f>AE38*Supuestos!$C$10+AE40*Supuestos!$C$11</f>
        <v/>
      </c>
      <c r="AF41" s="25">
        <f>AF38*Supuestos!$C$10+AF40*Supuestos!$C$11</f>
        <v/>
      </c>
      <c r="AG41" s="25">
        <f>AG38*Supuestos!$C$10+AG40*Supuestos!$C$11</f>
        <v/>
      </c>
      <c r="AH41" s="25">
        <f>AH38*Supuestos!$C$10+AH40*Supuestos!$C$11</f>
        <v/>
      </c>
      <c r="AI41" s="25">
        <f>AI38*Supuestos!$C$10+AI40*Supuestos!$C$11</f>
        <v/>
      </c>
      <c r="AJ41" s="25">
        <f>AJ38*Supuestos!$C$10+AJ40*Supuestos!$C$11</f>
        <v/>
      </c>
      <c r="AK41" s="25">
        <f>AK38*Supuestos!$C$10+AK40*Supuestos!$C$11</f>
        <v/>
      </c>
      <c r="AL41" s="25">
        <f>AL38*Supuestos!$C$10+AL40*Supuestos!$C$11</f>
        <v/>
      </c>
    </row>
    <row r="42">
      <c r="A42" s="9" t="inlineStr">
        <is>
          <t>Costo de conseguir clientes</t>
        </is>
      </c>
      <c r="C42" s="25">
        <f>C36*Supuestos!$C$12</f>
        <v/>
      </c>
      <c r="D42" s="25">
        <f>D36*Supuestos!$C$12</f>
        <v/>
      </c>
      <c r="E42" s="25">
        <f>E36*Supuestos!$C$12</f>
        <v/>
      </c>
      <c r="F42" s="25">
        <f>F36*Supuestos!$C$12</f>
        <v/>
      </c>
      <c r="G42" s="25">
        <f>G36*Supuestos!$C$12</f>
        <v/>
      </c>
      <c r="H42" s="25">
        <f>H36*Supuestos!$C$12</f>
        <v/>
      </c>
      <c r="I42" s="25">
        <f>I36*Supuestos!$C$12</f>
        <v/>
      </c>
      <c r="J42" s="25">
        <f>J36*Supuestos!$C$12</f>
        <v/>
      </c>
      <c r="K42" s="25">
        <f>K36*Supuestos!$C$12</f>
        <v/>
      </c>
      <c r="L42" s="25">
        <f>L36*Supuestos!$C$12</f>
        <v/>
      </c>
      <c r="M42" s="25">
        <f>M36*Supuestos!$C$12</f>
        <v/>
      </c>
      <c r="N42" s="25">
        <f>N36*Supuestos!$C$12</f>
        <v/>
      </c>
      <c r="O42" s="25">
        <f>O36*Supuestos!$C$12</f>
        <v/>
      </c>
      <c r="P42" s="25">
        <f>P36*Supuestos!$C$12</f>
        <v/>
      </c>
      <c r="Q42" s="25">
        <f>Q36*Supuestos!$C$12</f>
        <v/>
      </c>
      <c r="R42" s="25">
        <f>R36*Supuestos!$C$12</f>
        <v/>
      </c>
      <c r="S42" s="25">
        <f>S36*Supuestos!$C$12</f>
        <v/>
      </c>
      <c r="T42" s="25">
        <f>T36*Supuestos!$C$12</f>
        <v/>
      </c>
      <c r="U42" s="25">
        <f>U36*Supuestos!$C$12</f>
        <v/>
      </c>
      <c r="V42" s="25">
        <f>V36*Supuestos!$C$12</f>
        <v/>
      </c>
      <c r="W42" s="25">
        <f>W36*Supuestos!$C$12</f>
        <v/>
      </c>
      <c r="X42" s="25">
        <f>X36*Supuestos!$C$12</f>
        <v/>
      </c>
      <c r="Y42" s="25">
        <f>Y36*Supuestos!$C$12</f>
        <v/>
      </c>
      <c r="Z42" s="25">
        <f>Z36*Supuestos!$C$12</f>
        <v/>
      </c>
      <c r="AA42" s="25">
        <f>AA36*Supuestos!$C$12</f>
        <v/>
      </c>
      <c r="AB42" s="25">
        <f>AB36*Supuestos!$C$12</f>
        <v/>
      </c>
      <c r="AC42" s="25">
        <f>AC36*Supuestos!$C$12</f>
        <v/>
      </c>
      <c r="AD42" s="25">
        <f>AD36*Supuestos!$C$12</f>
        <v/>
      </c>
      <c r="AE42" s="25">
        <f>AE36*Supuestos!$C$12</f>
        <v/>
      </c>
      <c r="AF42" s="25">
        <f>AF36*Supuestos!$C$12</f>
        <v/>
      </c>
      <c r="AG42" s="25">
        <f>AG36*Supuestos!$C$12</f>
        <v/>
      </c>
      <c r="AH42" s="25">
        <f>AH36*Supuestos!$C$12</f>
        <v/>
      </c>
      <c r="AI42" s="25">
        <f>AI36*Supuestos!$C$12</f>
        <v/>
      </c>
      <c r="AJ42" s="25">
        <f>AJ36*Supuestos!$C$12</f>
        <v/>
      </c>
      <c r="AK42" s="25">
        <f>AK36*Supuestos!$C$12</f>
        <v/>
      </c>
      <c r="AL42" s="25">
        <f>AL36*Supuestos!$C$12</f>
        <v/>
      </c>
    </row>
    <row r="43">
      <c r="A43" s="9" t="inlineStr">
        <is>
          <t>Gastos fijos (equipo y operación)</t>
        </is>
      </c>
      <c r="C43" s="25">
        <f>SUMPRODUCT((Presupuesto!$D$5:$D$16&lt;=C$4)*Presupuesto!$E$5:$E$16)</f>
        <v/>
      </c>
      <c r="D43" s="25">
        <f>SUMPRODUCT((Presupuesto!$D$5:$D$16&lt;=D$4)*Presupuesto!$E$5:$E$16)</f>
        <v/>
      </c>
      <c r="E43" s="25">
        <f>SUMPRODUCT((Presupuesto!$D$5:$D$16&lt;=E$4)*Presupuesto!$E$5:$E$16)</f>
        <v/>
      </c>
      <c r="F43" s="25">
        <f>SUMPRODUCT((Presupuesto!$D$5:$D$16&lt;=F$4)*Presupuesto!$E$5:$E$16)</f>
        <v/>
      </c>
      <c r="G43" s="25">
        <f>SUMPRODUCT((Presupuesto!$D$5:$D$16&lt;=G$4)*Presupuesto!$E$5:$E$16)</f>
        <v/>
      </c>
      <c r="H43" s="25">
        <f>SUMPRODUCT((Presupuesto!$D$5:$D$16&lt;=H$4)*Presupuesto!$E$5:$E$16)</f>
        <v/>
      </c>
      <c r="I43" s="25">
        <f>SUMPRODUCT((Presupuesto!$D$5:$D$16&lt;=I$4)*Presupuesto!$E$5:$E$16)</f>
        <v/>
      </c>
      <c r="J43" s="25">
        <f>SUMPRODUCT((Presupuesto!$D$5:$D$16&lt;=J$4)*Presupuesto!$E$5:$E$16)</f>
        <v/>
      </c>
      <c r="K43" s="25">
        <f>SUMPRODUCT((Presupuesto!$D$5:$D$16&lt;=K$4)*Presupuesto!$E$5:$E$16)</f>
        <v/>
      </c>
      <c r="L43" s="25">
        <f>SUMPRODUCT((Presupuesto!$D$5:$D$16&lt;=L$4)*Presupuesto!$E$5:$E$16)</f>
        <v/>
      </c>
      <c r="M43" s="25">
        <f>SUMPRODUCT((Presupuesto!$D$5:$D$16&lt;=M$4)*Presupuesto!$E$5:$E$16)</f>
        <v/>
      </c>
      <c r="N43" s="25">
        <f>SUMPRODUCT((Presupuesto!$D$5:$D$16&lt;=N$4)*Presupuesto!$E$5:$E$16)</f>
        <v/>
      </c>
      <c r="O43" s="25">
        <f>SUMPRODUCT((Presupuesto!$D$5:$D$16&lt;=O$4)*Presupuesto!$E$5:$E$16)</f>
        <v/>
      </c>
      <c r="P43" s="25">
        <f>SUMPRODUCT((Presupuesto!$D$5:$D$16&lt;=P$4)*Presupuesto!$E$5:$E$16)</f>
        <v/>
      </c>
      <c r="Q43" s="25">
        <f>SUMPRODUCT((Presupuesto!$D$5:$D$16&lt;=Q$4)*Presupuesto!$E$5:$E$16)</f>
        <v/>
      </c>
      <c r="R43" s="25">
        <f>SUMPRODUCT((Presupuesto!$D$5:$D$16&lt;=R$4)*Presupuesto!$E$5:$E$16)</f>
        <v/>
      </c>
      <c r="S43" s="25">
        <f>SUMPRODUCT((Presupuesto!$D$5:$D$16&lt;=S$4)*Presupuesto!$E$5:$E$16)</f>
        <v/>
      </c>
      <c r="T43" s="25">
        <f>SUMPRODUCT((Presupuesto!$D$5:$D$16&lt;=T$4)*Presupuesto!$E$5:$E$16)</f>
        <v/>
      </c>
      <c r="U43" s="25">
        <f>SUMPRODUCT((Presupuesto!$D$5:$D$16&lt;=U$4)*Presupuesto!$E$5:$E$16)</f>
        <v/>
      </c>
      <c r="V43" s="25">
        <f>SUMPRODUCT((Presupuesto!$D$5:$D$16&lt;=V$4)*Presupuesto!$E$5:$E$16)</f>
        <v/>
      </c>
      <c r="W43" s="25">
        <f>SUMPRODUCT((Presupuesto!$D$5:$D$16&lt;=W$4)*Presupuesto!$E$5:$E$16)</f>
        <v/>
      </c>
      <c r="X43" s="25">
        <f>SUMPRODUCT((Presupuesto!$D$5:$D$16&lt;=X$4)*Presupuesto!$E$5:$E$16)</f>
        <v/>
      </c>
      <c r="Y43" s="25">
        <f>SUMPRODUCT((Presupuesto!$D$5:$D$16&lt;=Y$4)*Presupuesto!$E$5:$E$16)</f>
        <v/>
      </c>
      <c r="Z43" s="25">
        <f>SUMPRODUCT((Presupuesto!$D$5:$D$16&lt;=Z$4)*Presupuesto!$E$5:$E$16)</f>
        <v/>
      </c>
      <c r="AA43" s="25">
        <f>SUMPRODUCT((Presupuesto!$D$5:$D$16&lt;=AA$4)*Presupuesto!$E$5:$E$16)</f>
        <v/>
      </c>
      <c r="AB43" s="25">
        <f>SUMPRODUCT((Presupuesto!$D$5:$D$16&lt;=AB$4)*Presupuesto!$E$5:$E$16)</f>
        <v/>
      </c>
      <c r="AC43" s="25">
        <f>SUMPRODUCT((Presupuesto!$D$5:$D$16&lt;=AC$4)*Presupuesto!$E$5:$E$16)</f>
        <v/>
      </c>
      <c r="AD43" s="25">
        <f>SUMPRODUCT((Presupuesto!$D$5:$D$16&lt;=AD$4)*Presupuesto!$E$5:$E$16)</f>
        <v/>
      </c>
      <c r="AE43" s="25">
        <f>SUMPRODUCT((Presupuesto!$D$5:$D$16&lt;=AE$4)*Presupuesto!$E$5:$E$16)</f>
        <v/>
      </c>
      <c r="AF43" s="25">
        <f>SUMPRODUCT((Presupuesto!$D$5:$D$16&lt;=AF$4)*Presupuesto!$E$5:$E$16)</f>
        <v/>
      </c>
      <c r="AG43" s="25">
        <f>SUMPRODUCT((Presupuesto!$D$5:$D$16&lt;=AG$4)*Presupuesto!$E$5:$E$16)</f>
        <v/>
      </c>
      <c r="AH43" s="25">
        <f>SUMPRODUCT((Presupuesto!$D$5:$D$16&lt;=AH$4)*Presupuesto!$E$5:$E$16)</f>
        <v/>
      </c>
      <c r="AI43" s="25">
        <f>SUMPRODUCT((Presupuesto!$D$5:$D$16&lt;=AI$4)*Presupuesto!$E$5:$E$16)</f>
        <v/>
      </c>
      <c r="AJ43" s="25">
        <f>SUMPRODUCT((Presupuesto!$D$5:$D$16&lt;=AJ$4)*Presupuesto!$E$5:$E$16)</f>
        <v/>
      </c>
      <c r="AK43" s="25">
        <f>SUMPRODUCT((Presupuesto!$D$5:$D$16&lt;=AK$4)*Presupuesto!$E$5:$E$16)</f>
        <v/>
      </c>
      <c r="AL43" s="25">
        <f>SUMPRODUCT((Presupuesto!$D$5:$D$16&lt;=AL$4)*Presupuesto!$E$5:$E$16)</f>
        <v/>
      </c>
    </row>
    <row r="44">
      <c r="A44" s="4" t="inlineStr">
        <is>
          <t>Resultado operativo (EBITDA)</t>
        </is>
      </c>
      <c r="C44" s="25">
        <f>C40-C41-C42-C43</f>
        <v/>
      </c>
      <c r="D44" s="25">
        <f>D40-D41-D42-D43</f>
        <v/>
      </c>
      <c r="E44" s="25">
        <f>E40-E41-E42-E43</f>
        <v/>
      </c>
      <c r="F44" s="25">
        <f>F40-F41-F42-F43</f>
        <v/>
      </c>
      <c r="G44" s="25">
        <f>G40-G41-G42-G43</f>
        <v/>
      </c>
      <c r="H44" s="25">
        <f>H40-H41-H42-H43</f>
        <v/>
      </c>
      <c r="I44" s="25">
        <f>I40-I41-I42-I43</f>
        <v/>
      </c>
      <c r="J44" s="25">
        <f>J40-J41-J42-J43</f>
        <v/>
      </c>
      <c r="K44" s="25">
        <f>K40-K41-K42-K43</f>
        <v/>
      </c>
      <c r="L44" s="25">
        <f>L40-L41-L42-L43</f>
        <v/>
      </c>
      <c r="M44" s="25">
        <f>M40-M41-M42-M43</f>
        <v/>
      </c>
      <c r="N44" s="25">
        <f>N40-N41-N42-N43</f>
        <v/>
      </c>
      <c r="O44" s="25">
        <f>O40-O41-O42-O43</f>
        <v/>
      </c>
      <c r="P44" s="25">
        <f>P40-P41-P42-P43</f>
        <v/>
      </c>
      <c r="Q44" s="25">
        <f>Q40-Q41-Q42-Q43</f>
        <v/>
      </c>
      <c r="R44" s="25">
        <f>R40-R41-R42-R43</f>
        <v/>
      </c>
      <c r="S44" s="25">
        <f>S40-S41-S42-S43</f>
        <v/>
      </c>
      <c r="T44" s="25">
        <f>T40-T41-T42-T43</f>
        <v/>
      </c>
      <c r="U44" s="25">
        <f>U40-U41-U42-U43</f>
        <v/>
      </c>
      <c r="V44" s="25">
        <f>V40-V41-V42-V43</f>
        <v/>
      </c>
      <c r="W44" s="25">
        <f>W40-W41-W42-W43</f>
        <v/>
      </c>
      <c r="X44" s="25">
        <f>X40-X41-X42-X43</f>
        <v/>
      </c>
      <c r="Y44" s="25">
        <f>Y40-Y41-Y42-Y43</f>
        <v/>
      </c>
      <c r="Z44" s="25">
        <f>Z40-Z41-Z42-Z43</f>
        <v/>
      </c>
      <c r="AA44" s="25">
        <f>AA40-AA41-AA42-AA43</f>
        <v/>
      </c>
      <c r="AB44" s="25">
        <f>AB40-AB41-AB42-AB43</f>
        <v/>
      </c>
      <c r="AC44" s="25">
        <f>AC40-AC41-AC42-AC43</f>
        <v/>
      </c>
      <c r="AD44" s="25">
        <f>AD40-AD41-AD42-AD43</f>
        <v/>
      </c>
      <c r="AE44" s="25">
        <f>AE40-AE41-AE42-AE43</f>
        <v/>
      </c>
      <c r="AF44" s="25">
        <f>AF40-AF41-AF42-AF43</f>
        <v/>
      </c>
      <c r="AG44" s="25">
        <f>AG40-AG41-AG42-AG43</f>
        <v/>
      </c>
      <c r="AH44" s="25">
        <f>AH40-AH41-AH42-AH43</f>
        <v/>
      </c>
      <c r="AI44" s="25">
        <f>AI40-AI41-AI42-AI43</f>
        <v/>
      </c>
      <c r="AJ44" s="25">
        <f>AJ40-AJ41-AJ42-AJ43</f>
        <v/>
      </c>
      <c r="AK44" s="25">
        <f>AK40-AK41-AK42-AK43</f>
        <v/>
      </c>
      <c r="AL44" s="25">
        <f>AL40-AL41-AL42-AL43</f>
        <v/>
      </c>
    </row>
    <row r="45">
      <c r="A45" s="4" t="inlineStr">
        <is>
          <t>Caja acumulada (sin inversión)</t>
        </is>
      </c>
      <c r="C45" s="25">
        <f>C44-Presupuesto!$C$28</f>
        <v/>
      </c>
      <c r="D45" s="25">
        <f>C45+D44</f>
        <v/>
      </c>
      <c r="E45" s="25">
        <f>D45+E44</f>
        <v/>
      </c>
      <c r="F45" s="25">
        <f>E45+F44</f>
        <v/>
      </c>
      <c r="G45" s="25">
        <f>F45+G44</f>
        <v/>
      </c>
      <c r="H45" s="25">
        <f>G45+H44</f>
        <v/>
      </c>
      <c r="I45" s="25">
        <f>H45+I44</f>
        <v/>
      </c>
      <c r="J45" s="25">
        <f>I45+J44</f>
        <v/>
      </c>
      <c r="K45" s="25">
        <f>J45+K44</f>
        <v/>
      </c>
      <c r="L45" s="25">
        <f>K45+L44</f>
        <v/>
      </c>
      <c r="M45" s="25">
        <f>L45+M44</f>
        <v/>
      </c>
      <c r="N45" s="25">
        <f>M45+N44</f>
        <v/>
      </c>
      <c r="O45" s="25">
        <f>N45+O44</f>
        <v/>
      </c>
      <c r="P45" s="25">
        <f>O45+P44</f>
        <v/>
      </c>
      <c r="Q45" s="25">
        <f>P45+Q44</f>
        <v/>
      </c>
      <c r="R45" s="25">
        <f>Q45+R44</f>
        <v/>
      </c>
      <c r="S45" s="25">
        <f>R45+S44</f>
        <v/>
      </c>
      <c r="T45" s="25">
        <f>S45+T44</f>
        <v/>
      </c>
      <c r="U45" s="25">
        <f>T45+U44</f>
        <v/>
      </c>
      <c r="V45" s="25">
        <f>U45+V44</f>
        <v/>
      </c>
      <c r="W45" s="25">
        <f>V45+W44</f>
        <v/>
      </c>
      <c r="X45" s="25">
        <f>W45+X44</f>
        <v/>
      </c>
      <c r="Y45" s="25">
        <f>X45+Y44</f>
        <v/>
      </c>
      <c r="Z45" s="25">
        <f>Y45+Z44</f>
        <v/>
      </c>
      <c r="AA45" s="25">
        <f>Z45+AA44</f>
        <v/>
      </c>
      <c r="AB45" s="25">
        <f>AA45+AB44</f>
        <v/>
      </c>
      <c r="AC45" s="25">
        <f>AB45+AC44</f>
        <v/>
      </c>
      <c r="AD45" s="25">
        <f>AC45+AD44</f>
        <v/>
      </c>
      <c r="AE45" s="25">
        <f>AD45+AE44</f>
        <v/>
      </c>
      <c r="AF45" s="25">
        <f>AE45+AF44</f>
        <v/>
      </c>
      <c r="AG45" s="25">
        <f>AF45+AG44</f>
        <v/>
      </c>
      <c r="AH45" s="25">
        <f>AG45+AH44</f>
        <v/>
      </c>
      <c r="AI45" s="25">
        <f>AH45+AI44</f>
        <v/>
      </c>
      <c r="AJ45" s="25">
        <f>AI45+AJ44</f>
        <v/>
      </c>
      <c r="AK45" s="25">
        <f>AJ45+AK44</f>
        <v/>
      </c>
      <c r="AL45" s="25">
        <f>AK45+AL44</f>
        <v/>
      </c>
    </row>
    <row r="46">
      <c r="A46" s="9" t="inlineStr">
        <is>
          <t>¿Mes con resultado positivo? (1 = sí)</t>
        </is>
      </c>
      <c r="C46" s="48">
        <f>IF(C44&gt;0,1,0)</f>
        <v/>
      </c>
      <c r="D46" s="48">
        <f>IF(D44&gt;0,1,0)</f>
        <v/>
      </c>
      <c r="E46" s="48">
        <f>IF(E44&gt;0,1,0)</f>
        <v/>
      </c>
      <c r="F46" s="48">
        <f>IF(F44&gt;0,1,0)</f>
        <v/>
      </c>
      <c r="G46" s="48">
        <f>IF(G44&gt;0,1,0)</f>
        <v/>
      </c>
      <c r="H46" s="48">
        <f>IF(H44&gt;0,1,0)</f>
        <v/>
      </c>
      <c r="I46" s="48">
        <f>IF(I44&gt;0,1,0)</f>
        <v/>
      </c>
      <c r="J46" s="48">
        <f>IF(J44&gt;0,1,0)</f>
        <v/>
      </c>
      <c r="K46" s="48">
        <f>IF(K44&gt;0,1,0)</f>
        <v/>
      </c>
      <c r="L46" s="48">
        <f>IF(L44&gt;0,1,0)</f>
        <v/>
      </c>
      <c r="M46" s="48">
        <f>IF(M44&gt;0,1,0)</f>
        <v/>
      </c>
      <c r="N46" s="48">
        <f>IF(N44&gt;0,1,0)</f>
        <v/>
      </c>
      <c r="O46" s="48">
        <f>IF(O44&gt;0,1,0)</f>
        <v/>
      </c>
      <c r="P46" s="48">
        <f>IF(P44&gt;0,1,0)</f>
        <v/>
      </c>
      <c r="Q46" s="48">
        <f>IF(Q44&gt;0,1,0)</f>
        <v/>
      </c>
      <c r="R46" s="48">
        <f>IF(R44&gt;0,1,0)</f>
        <v/>
      </c>
      <c r="S46" s="48">
        <f>IF(S44&gt;0,1,0)</f>
        <v/>
      </c>
      <c r="T46" s="48">
        <f>IF(T44&gt;0,1,0)</f>
        <v/>
      </c>
      <c r="U46" s="48">
        <f>IF(U44&gt;0,1,0)</f>
        <v/>
      </c>
      <c r="V46" s="48">
        <f>IF(V44&gt;0,1,0)</f>
        <v/>
      </c>
      <c r="W46" s="48">
        <f>IF(W44&gt;0,1,0)</f>
        <v/>
      </c>
      <c r="X46" s="48">
        <f>IF(X44&gt;0,1,0)</f>
        <v/>
      </c>
      <c r="Y46" s="48">
        <f>IF(Y44&gt;0,1,0)</f>
        <v/>
      </c>
      <c r="Z46" s="48">
        <f>IF(Z44&gt;0,1,0)</f>
        <v/>
      </c>
      <c r="AA46" s="48">
        <f>IF(AA44&gt;0,1,0)</f>
        <v/>
      </c>
      <c r="AB46" s="48">
        <f>IF(AB44&gt;0,1,0)</f>
        <v/>
      </c>
      <c r="AC46" s="48">
        <f>IF(AC44&gt;0,1,0)</f>
        <v/>
      </c>
      <c r="AD46" s="48">
        <f>IF(AD44&gt;0,1,0)</f>
        <v/>
      </c>
      <c r="AE46" s="48">
        <f>IF(AE44&gt;0,1,0)</f>
        <v/>
      </c>
      <c r="AF46" s="48">
        <f>IF(AF44&gt;0,1,0)</f>
        <v/>
      </c>
      <c r="AG46" s="48">
        <f>IF(AG44&gt;0,1,0)</f>
        <v/>
      </c>
      <c r="AH46" s="48">
        <f>IF(AH44&gt;0,1,0)</f>
        <v/>
      </c>
      <c r="AI46" s="48">
        <f>IF(AI44&gt;0,1,0)</f>
        <v/>
      </c>
      <c r="AJ46" s="48">
        <f>IF(AJ44&gt;0,1,0)</f>
        <v/>
      </c>
      <c r="AK46" s="48">
        <f>IF(AK44&gt;0,1,0)</f>
        <v/>
      </c>
      <c r="AL46" s="48">
        <f>IF(AL44&gt;0,1,0)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46" customWidth="1" min="3" max="3"/>
  </cols>
  <sheetData>
    <row r="1">
      <c r="A1" s="1" t="inlineStr">
        <is>
          <t>Unidad económica (escenario base)</t>
        </is>
      </c>
      <c r="B1" s="2" t="n"/>
      <c r="C1" s="2" t="n"/>
    </row>
    <row r="2">
      <c r="A2" s="3" t="inlineStr">
        <is>
          <t>Cuánto deja un cliente y cuánto cuesta conseguirlo</t>
        </is>
      </c>
    </row>
    <row r="4">
      <c r="A4" s="10" t="inlineStr">
        <is>
          <t>Indicador</t>
        </is>
      </c>
      <c r="B4" s="10" t="inlineStr">
        <is>
          <t>Valor</t>
        </is>
      </c>
      <c r="C4" s="10" t="inlineStr">
        <is>
          <t>Cómo se calcula</t>
        </is>
      </c>
    </row>
    <row r="5">
      <c r="A5" s="4" t="inlineStr">
        <is>
          <t>Ingreso promedio por cliente al mes (ARPU)</t>
        </is>
      </c>
      <c r="B5" s="23">
        <f>Supuestos!$D$9</f>
        <v/>
      </c>
      <c r="C5" s="3" t="inlineStr">
        <is>
          <t>Opción B, mezcla de planes</t>
        </is>
      </c>
    </row>
    <row r="6">
      <c r="A6" s="4" t="inlineStr">
        <is>
          <t>Costo por cliente al mes</t>
        </is>
      </c>
      <c r="B6" s="23">
        <f>Supuestos!$C$10+B5*Supuestos!$C$11</f>
        <v/>
      </c>
      <c r="C6" s="3" t="inlineStr">
        <is>
          <t>Servidor, IA, soporte y comisión de cobro</t>
        </is>
      </c>
    </row>
    <row r="7">
      <c r="A7" s="4" t="inlineStr">
        <is>
          <t>Margen bruto por cliente al mes</t>
        </is>
      </c>
      <c r="B7" s="25">
        <f>B5-B6</f>
        <v/>
      </c>
      <c r="C7" s="3" t="inlineStr">
        <is>
          <t>ARPU − costo</t>
        </is>
      </c>
    </row>
    <row r="8">
      <c r="A8" s="4" t="inlineStr">
        <is>
          <t>Margen bruto %</t>
        </is>
      </c>
      <c r="B8" s="27">
        <f>IFERROR(B7/B5,0)</f>
        <v/>
      </c>
      <c r="C8" s="3" t="inlineStr"/>
    </row>
    <row r="9">
      <c r="A9" s="4" t="inlineStr">
        <is>
          <t>Vida promedio del cliente (meses)</t>
        </is>
      </c>
      <c r="B9" s="49">
        <f>IFERROR(1/Supuestos!$D$8,0)</f>
        <v/>
      </c>
      <c r="C9" s="3" t="inlineStr">
        <is>
          <t>1 ÷ abandono mensual</t>
        </is>
      </c>
    </row>
    <row r="10">
      <c r="A10" s="4" t="inlineStr">
        <is>
          <t>Valor de vida del cliente (LTV)</t>
        </is>
      </c>
      <c r="B10" s="25">
        <f>B7*B9</f>
        <v/>
      </c>
      <c r="C10" s="3" t="inlineStr">
        <is>
          <t>Margen × meses de vida</t>
        </is>
      </c>
    </row>
    <row r="11">
      <c r="A11" s="4" t="inlineStr">
        <is>
          <t>Costo de conseguir un cliente (CAC)</t>
        </is>
      </c>
      <c r="B11" s="23">
        <f>Supuestos!$C$12</f>
        <v/>
      </c>
      <c r="C11" s="3" t="inlineStr">
        <is>
          <t>Supuesto</t>
        </is>
      </c>
    </row>
    <row r="12">
      <c r="A12" s="4" t="inlineStr">
        <is>
          <t>LTV / CAC</t>
        </is>
      </c>
      <c r="B12" s="50">
        <f>IFERROR(B10/B11,0)</f>
        <v/>
      </c>
      <c r="C12" s="3" t="inlineStr">
        <is>
          <t>Lo sano es 3x o más</t>
        </is>
      </c>
    </row>
    <row r="13">
      <c r="A13" s="4" t="inlineStr">
        <is>
          <t>Meses para recuperar el CAC</t>
        </is>
      </c>
      <c r="B13" s="51">
        <f>IFERROR(B11/B7,0)</f>
        <v/>
      </c>
      <c r="C13" s="3" t="inlineStr">
        <is>
          <t>CAC ÷ margen mensual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Uso de fondos — tres tamaños de ronda</t>
        </is>
      </c>
      <c r="B1" s="2" t="n"/>
      <c r="C1" s="2" t="n"/>
      <c r="D1" s="2" t="n"/>
      <c r="E1" s="2" t="n"/>
    </row>
    <row r="2">
      <c r="A2" s="3" t="inlineStr">
        <is>
          <t>Montos y porcentajes en azul: ajústalos según el inversionista</t>
        </is>
      </c>
    </row>
    <row r="4">
      <c r="A4" s="10" t="inlineStr"/>
      <c r="B4" s="10" t="inlineStr">
        <is>
          <t>Ángel (mínimo)</t>
        </is>
      </c>
      <c r="C4" s="10" t="inlineStr">
        <is>
          <t>Pre-semilla (recomendada)</t>
        </is>
      </c>
      <c r="D4" s="10" t="inlineStr">
        <is>
          <t>Semilla (acelerar)</t>
        </is>
      </c>
      <c r="E4" s="10" t="inlineStr">
        <is>
          <t>Nota</t>
        </is>
      </c>
    </row>
    <row r="5">
      <c r="A5" s="4" t="inlineStr">
        <is>
          <t>Monto a levantar (US$)</t>
        </is>
      </c>
      <c r="B5" s="52" t="n">
        <v>100000</v>
      </c>
      <c r="C5" s="52" t="n">
        <v>350000</v>
      </c>
      <c r="D5" s="52" t="n">
        <v>700000</v>
      </c>
    </row>
    <row r="6">
      <c r="A6" s="4" t="inlineStr">
        <is>
          <t>Monto en COP</t>
        </is>
      </c>
      <c r="B6" s="53">
        <f>B5*Supuestos!$C$5</f>
        <v/>
      </c>
      <c r="C6" s="53">
        <f>C5*Supuestos!$C$5</f>
        <v/>
      </c>
      <c r="D6" s="53">
        <f>D5*Supuestos!$C$5</f>
        <v/>
      </c>
    </row>
    <row r="8">
      <c r="A8" s="9" t="inlineStr">
        <is>
          <t>Producto y tecnología (equipo de desarrollo, Play Store, nube)</t>
        </is>
      </c>
      <c r="B8" s="26" t="n">
        <v>0.5</v>
      </c>
      <c r="C8" s="26" t="n">
        <v>0.45</v>
      </c>
      <c r="D8" s="26" t="n">
        <v>0.4</v>
      </c>
    </row>
    <row r="9">
      <c r="A9" s="9" t="inlineStr">
        <is>
          <t>Ventas y marketing (vendedores de campo, pauta, referidos)</t>
        </is>
      </c>
      <c r="B9" s="26" t="n">
        <v>0.25</v>
      </c>
      <c r="C9" s="26" t="n">
        <v>0.3</v>
      </c>
      <c r="D9" s="26" t="n">
        <v>0.35</v>
      </c>
    </row>
    <row r="10">
      <c r="A10" s="9" t="inlineStr">
        <is>
          <t>Soporte y operación</t>
        </is>
      </c>
      <c r="B10" s="26" t="n">
        <v>0.1</v>
      </c>
      <c r="C10" s="26" t="n">
        <v>0.1</v>
      </c>
      <c r="D10" s="26" t="n">
        <v>0.1</v>
      </c>
    </row>
    <row r="11">
      <c r="A11" s="9" t="inlineStr">
        <is>
          <t>Legal, marca y factura electrónica DIAN</t>
        </is>
      </c>
      <c r="B11" s="26" t="n">
        <v>0.08</v>
      </c>
      <c r="C11" s="26" t="n">
        <v>0.07000000000000001</v>
      </c>
      <c r="D11" s="26" t="n">
        <v>0.07000000000000001</v>
      </c>
    </row>
    <row r="12">
      <c r="A12" s="9" t="inlineStr">
        <is>
          <t>Infraestructura y reserva</t>
        </is>
      </c>
      <c r="B12" s="26" t="n">
        <v>0.07000000000000001</v>
      </c>
      <c r="C12" s="26" t="n">
        <v>0.08</v>
      </c>
      <c r="D12" s="26" t="n">
        <v>0.08</v>
      </c>
    </row>
    <row r="13">
      <c r="A13" s="4" t="inlineStr">
        <is>
          <t>Revisión: suma de porcentajes</t>
        </is>
      </c>
      <c r="B13" s="40">
        <f>SUM(B8:B12)</f>
        <v/>
      </c>
      <c r="C13" s="40">
        <f>SUM(C8:C12)</f>
        <v/>
      </c>
      <c r="D13" s="40">
        <f>SUM(D8:D12)</f>
        <v/>
      </c>
    </row>
    <row r="15">
      <c r="A15" s="4" t="inlineStr">
        <is>
          <t>En pesos</t>
        </is>
      </c>
    </row>
    <row r="16">
      <c r="A16" s="9">
        <f>A8</f>
        <v/>
      </c>
      <c r="B16" s="53">
        <f>B$6*B8</f>
        <v/>
      </c>
      <c r="C16" s="53">
        <f>C$6*C8</f>
        <v/>
      </c>
      <c r="D16" s="53">
        <f>D$6*D8</f>
        <v/>
      </c>
    </row>
    <row r="17">
      <c r="A17" s="9">
        <f>A9</f>
        <v/>
      </c>
      <c r="B17" s="53">
        <f>B$6*B9</f>
        <v/>
      </c>
      <c r="C17" s="53">
        <f>C$6*C9</f>
        <v/>
      </c>
      <c r="D17" s="53">
        <f>D$6*D9</f>
        <v/>
      </c>
    </row>
    <row r="18">
      <c r="A18" s="9">
        <f>A10</f>
        <v/>
      </c>
      <c r="B18" s="53">
        <f>B$6*B10</f>
        <v/>
      </c>
      <c r="C18" s="53">
        <f>C$6*C10</f>
        <v/>
      </c>
      <c r="D18" s="53">
        <f>D$6*D10</f>
        <v/>
      </c>
    </row>
    <row r="19">
      <c r="A19" s="9">
        <f>A11</f>
        <v/>
      </c>
      <c r="B19" s="53">
        <f>B$6*B11</f>
        <v/>
      </c>
      <c r="C19" s="53">
        <f>C$6*C11</f>
        <v/>
      </c>
      <c r="D19" s="53">
        <f>D$6*D11</f>
        <v/>
      </c>
    </row>
    <row r="20">
      <c r="A20" s="9">
        <f>A12</f>
        <v/>
      </c>
      <c r="B20" s="53">
        <f>B$6*B12</f>
        <v/>
      </c>
      <c r="C20" s="53">
        <f>C$6*C12</f>
        <v/>
      </c>
      <c r="D20" s="53">
        <f>D$6*D12</f>
        <v/>
      </c>
    </row>
    <row r="22">
      <c r="A22" s="4" t="inlineStr">
        <is>
          <t>Meses de operación con todo el equipo (sin contar ventas)</t>
        </is>
      </c>
      <c r="B22" s="49">
        <f>IFERROR(B6/Presupuesto!$E$17,0)</f>
        <v/>
      </c>
      <c r="C22" s="49">
        <f>IFERROR(C6/Presupuesto!$E$17,0)</f>
        <v/>
      </c>
      <c r="D22" s="49">
        <f>IFERROR(D6/Presupuesto!$E$17,0)</f>
        <v/>
      </c>
    </row>
    <row r="23">
      <c r="A23" s="4" t="inlineStr">
        <is>
          <t>¿Alcanza para el escenario base? (plata necesaria hasta el punto de equilibrio)</t>
        </is>
      </c>
      <c r="B23" s="8">
        <f>IF(B6&gt;=Resumen!$C$16,"Sí","No: falta "&amp;TEXT(Resumen!$C$16-B6,"$#,##0"))</f>
        <v/>
      </c>
      <c r="C23" s="8">
        <f>IF(C6&gt;=Resumen!$C$16,"Sí","No: falta "&amp;TEXT(Resumen!$C$16-C6,"$#,##0"))</f>
        <v/>
      </c>
      <c r="D23" s="8">
        <f>IF(D6&gt;=Resumen!$C$16,"Sí","No: falta "&amp;TEXT(Resumen!$C$16-D6,"$#,##0"))</f>
        <v/>
      </c>
    </row>
    <row r="25">
      <c r="A25" s="3" t="inlineStr">
        <is>
          <t>Contexto: en 2025 la inversión pre-semilla en Latinoamérica cayó cerca de 40 % (LAVCA); la mediana global de capital pre-semilla fue de unos US$0,8 millones en el segundo semestre de 2025 (Equidam).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10" customWidth="1" min="2" max="2"/>
  </cols>
  <sheetData>
    <row r="1">
      <c r="A1" s="1" t="inlineStr">
        <is>
          <t>Fuentes</t>
        </is>
      </c>
      <c r="B1" s="2" t="n"/>
    </row>
    <row r="3">
      <c r="A3" s="10" t="inlineStr">
        <is>
          <t>Dato</t>
        </is>
      </c>
      <c r="B3" s="10" t="inlineStr">
        <is>
          <t>Enlace</t>
        </is>
      </c>
    </row>
    <row r="4">
      <c r="A4" s="9" t="inlineStr">
        <is>
          <t>Micronegocios en Colombia (2.321.469, 24 ciudades, 2024)</t>
        </is>
      </c>
      <c r="B4" s="32" t="inlineStr">
        <is>
          <t>https://www.dane.gov.co/files/operaciones/EMICRON/bol-EMICRON-2024.pdf</t>
        </is>
      </c>
    </row>
    <row r="5">
      <c r="A5" s="9" t="inlineStr">
        <is>
          <t>Bre-B: pagos inmediatos, 227 entidades, abierto desde el 6 oct 2025</t>
        </is>
      </c>
      <c r="B5" s="32" t="inlineStr">
        <is>
          <t>https://banrep.gov.co/es/noticias/bre-b-semana-crece-expectativa-entrada-operacion-bre-b</t>
        </is>
      </c>
    </row>
    <row r="6">
      <c r="A6" s="9" t="inlineStr">
        <is>
          <t>Nequi: más de 25 millones de usuarios (2025)</t>
        </is>
      </c>
      <c r="B6" s="32" t="inlineStr">
        <is>
          <t>https://www.elcolombiano.com/negocios/nequi-resumen-financiero-2025-como-mueven-plata-25-millones-usuarios-HH28857022</t>
        </is>
      </c>
    </row>
    <row r="7">
      <c r="A7" s="9" t="inlineStr">
        <is>
          <t>Restaurantes: más de 150.000 establecimientos (Acodrés, dic. 2024)</t>
        </is>
      </c>
      <c r="B7" s="32" t="inlineStr">
        <is>
          <t>https://www.portafolio.co/negocios/empresas/acodres-afirma-que-el-ano-pasado-se-cerraron-casi-7-000-restaurantes-624468</t>
        </is>
      </c>
    </row>
    <row r="8">
      <c r="A8" s="9" t="inlineStr">
        <is>
          <t>Bold: 230.000 comercios; datáfono 2,99 % por transacción; SonoQR</t>
        </is>
      </c>
      <c r="B8" s="32" t="inlineStr">
        <is>
          <t>https://www.larepublica.co/finanzas/la-fintech-bold-llego-a-230-000-comercios-y-anuncio-su-nuevo-proyecto-bold-smart-3430336</t>
        </is>
      </c>
    </row>
    <row r="9">
      <c r="A9" s="9" t="inlineStr">
        <is>
          <t>Treinta: más de 5 millones de usuarios en 18 países, funciones gratis</t>
        </is>
      </c>
      <c r="B9" s="32" t="inlineStr">
        <is>
          <t>https://www.larepublica.co/finanzas/queremos-ser-la-super-app-de-referencia-para-los-micronegocios-de-america-latina-3404790</t>
        </is>
      </c>
    </row>
    <row r="10">
      <c r="A10" s="9" t="inlineStr">
        <is>
          <t>Alegra Pyme $163.900/mes; Siigo Nube Emprendedor $191.327/mes</t>
        </is>
      </c>
      <c r="B10" s="32" t="inlineStr">
        <is>
          <t>https://blog.alegra.com/colombia/alegra-vs-siigo-colombia/</t>
        </is>
      </c>
    </row>
    <row r="11">
      <c r="A11" s="9" t="inlineStr">
        <is>
          <t>Siigo POS Gastrobar desde $124.992/mes</t>
        </is>
      </c>
      <c r="B11" s="32" t="inlineStr">
        <is>
          <t>https://www.descubre.vc/noticia/siigo-lanza-pos-gastrobar-para-restaurantes-y-bares-en-colombia-2025-08-19</t>
        </is>
      </c>
    </row>
    <row r="12">
      <c r="A12" s="9" t="inlineStr">
        <is>
          <t>Fudo: US$35–45/mes (planes internacionales)</t>
        </is>
      </c>
      <c r="B12" s="32" t="inlineStr">
        <is>
          <t>https://www.capterra.co.uk/software/1023879/fudo</t>
        </is>
      </c>
    </row>
    <row r="13">
      <c r="A13" s="9" t="inlineStr">
        <is>
          <t>TRM 1 de octubre de 2026: $3.312,84</t>
        </is>
      </c>
      <c r="B13" s="32" t="inlineStr">
        <is>
          <t>https://www.dolar-colombia.com/2026-10-01</t>
        </is>
      </c>
    </row>
    <row r="14">
      <c r="A14" s="9" t="inlineStr">
        <is>
          <t>LAVCA Trends in Tech 2026 (caída de la pre-semilla en 2025)</t>
        </is>
      </c>
      <c r="B14" s="32" t="inlineStr">
        <is>
          <t>https://www.lavca.org/research/2026-lavca-trends-in-tech/</t>
        </is>
      </c>
    </row>
    <row r="15">
      <c r="A15" s="9" t="inlineStr">
        <is>
          <t>Equidam: mediana global pre-semilla H2 2025</t>
        </is>
      </c>
      <c r="B15" s="32" t="inlineStr">
        <is>
          <t>https://www.equidam.com/startup-valuation-delta-h2-2025/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2026-10-04T02:36:44Z</dcterms:created>
  <dcterms:modified xmlns:dcterms="http://purl.org/dc/terms/" xmlns:xsi="http://www.w3.org/2001/XMLSchema-instance" xsi:type="dcterms:W3CDTF">2026-10-04T02:36:44Z</dcterms:modified>
</cp:coreProperties>
</file>